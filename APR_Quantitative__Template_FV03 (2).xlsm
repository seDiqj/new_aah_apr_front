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M Shoaib\Desktop\"/>
    </mc:Choice>
  </mc:AlternateContent>
  <bookViews>
    <workbookView xWindow="0" yWindow="0" windowWidth="19180" windowHeight="6330" activeTab="1"/>
  </bookViews>
  <sheets>
    <sheet name="Part 1 - Project Info" sheetId="10" r:id="rId1"/>
    <sheet name="Master APR" sheetId="21" r:id="rId2"/>
    <sheet name="DRM" sheetId="14" state="hidden" r:id="rId3"/>
    <sheet name="ADVOCACY" sheetId="18" state="hidden" r:id="rId4"/>
  </sheets>
  <externalReferences>
    <externalReference r:id="rId5"/>
    <externalReference r:id="rId6"/>
    <externalReference r:id="rId7"/>
  </externalReferences>
  <definedNames>
    <definedName name="_xlnm.Print_Area" localSheetId="3">ADVOCACY!$A$1:$S$6</definedName>
    <definedName name="_xlnm.Print_Area" localSheetId="2">DRM!$A$1:$U$6</definedName>
    <definedName name="_xlnm.Print_Area" localSheetId="1">'Master APR'!$A$1:$W$6</definedName>
    <definedName name="Z_2A716B58_18C3_4A47_96F5_C35B39B2AB16_.wvu.PrintArea" localSheetId="3" hidden="1">ADVOCACY!$A$1:$S$6</definedName>
    <definedName name="Z_2A716B58_18C3_4A47_96F5_C35B39B2AB16_.wvu.PrintArea" localSheetId="2" hidden="1">DRM!$A$1:$U$6</definedName>
    <definedName name="Z_2A716B58_18C3_4A47_96F5_C35B39B2AB16_.wvu.PrintArea" localSheetId="1" hidden="1">'Master APR'!$A$1:$W$6</definedName>
  </definedNames>
  <calcPr calcId="162913"/>
  <customWorkbookViews>
    <customWorkbookView name="Julie Bordes - Affichage personnalisé" guid="{2A716B58-18C3-4A47-96F5-C35B39B2AB16}" mergeInterval="0" personalView="1" maximized="1" windowWidth="1276" windowHeight="801" activeSheetId="1"/>
  </customWorkbookView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83" i="21" l="1"/>
  <c r="V83" i="21"/>
  <c r="U83" i="21"/>
  <c r="S83" i="21"/>
  <c r="R83" i="21"/>
  <c r="Q83" i="21"/>
  <c r="O83" i="21"/>
  <c r="N83" i="21"/>
  <c r="M83" i="21"/>
  <c r="K83" i="21"/>
  <c r="J83" i="21"/>
  <c r="I83" i="21"/>
  <c r="W82" i="21"/>
  <c r="V82" i="21"/>
  <c r="U82" i="21"/>
  <c r="S82" i="21"/>
  <c r="R82" i="21"/>
  <c r="Q82" i="21"/>
  <c r="O82" i="21"/>
  <c r="N82" i="21"/>
  <c r="M82" i="21"/>
  <c r="K82" i="21"/>
  <c r="J82" i="21"/>
  <c r="I82" i="21"/>
  <c r="W81" i="21"/>
  <c r="V81" i="21"/>
  <c r="U81" i="21"/>
  <c r="S81" i="21"/>
  <c r="R81" i="21"/>
  <c r="Q81" i="21"/>
  <c r="O81" i="21"/>
  <c r="N81" i="21"/>
  <c r="M81" i="21"/>
  <c r="K81" i="21"/>
  <c r="J81" i="21"/>
  <c r="I81" i="21"/>
  <c r="W80" i="21"/>
  <c r="V80" i="21"/>
  <c r="U80" i="21"/>
  <c r="U129" i="21" s="1"/>
  <c r="S80" i="21"/>
  <c r="S129" i="21" s="1"/>
  <c r="R80" i="21"/>
  <c r="Q80" i="21"/>
  <c r="O80" i="21"/>
  <c r="N80" i="21"/>
  <c r="M80" i="21"/>
  <c r="K80" i="21"/>
  <c r="J80" i="21"/>
  <c r="J129" i="21" s="1"/>
  <c r="I80" i="21"/>
  <c r="I129" i="21" s="1"/>
  <c r="W92" i="21"/>
  <c r="V92" i="21"/>
  <c r="U92" i="21"/>
  <c r="S92" i="21"/>
  <c r="R92" i="21"/>
  <c r="Q92" i="21"/>
  <c r="O92" i="21"/>
  <c r="N92" i="21"/>
  <c r="M92" i="21"/>
  <c r="K92" i="21"/>
  <c r="J92" i="21"/>
  <c r="I92" i="21"/>
  <c r="W91" i="21"/>
  <c r="V91" i="21"/>
  <c r="U91" i="21"/>
  <c r="S91" i="21"/>
  <c r="R91" i="21"/>
  <c r="Q91" i="21"/>
  <c r="O91" i="21"/>
  <c r="N91" i="21"/>
  <c r="M91" i="21"/>
  <c r="K91" i="21"/>
  <c r="J91" i="21"/>
  <c r="I91" i="21"/>
  <c r="W90" i="21"/>
  <c r="V90" i="21"/>
  <c r="U90" i="21"/>
  <c r="S90" i="21"/>
  <c r="R90" i="21"/>
  <c r="Q90" i="21"/>
  <c r="O90" i="21"/>
  <c r="N90" i="21"/>
  <c r="M90" i="21"/>
  <c r="K90" i="21"/>
  <c r="J90" i="21"/>
  <c r="I90" i="21"/>
  <c r="W89" i="21"/>
  <c r="V89" i="21"/>
  <c r="U89" i="21"/>
  <c r="S89" i="21"/>
  <c r="R89" i="21"/>
  <c r="Q89" i="21"/>
  <c r="O89" i="21"/>
  <c r="N89" i="21"/>
  <c r="M89" i="21"/>
  <c r="K89" i="21"/>
  <c r="J89" i="21"/>
  <c r="I89" i="21"/>
  <c r="W100" i="21"/>
  <c r="V100" i="21"/>
  <c r="U100" i="21"/>
  <c r="T100" i="21"/>
  <c r="S100" i="21"/>
  <c r="R100" i="21"/>
  <c r="Q100" i="21"/>
  <c r="P100" i="21"/>
  <c r="O100" i="21"/>
  <c r="N100" i="21"/>
  <c r="M100" i="21"/>
  <c r="K100" i="21"/>
  <c r="J100" i="21"/>
  <c r="I100" i="21"/>
  <c r="W99" i="21"/>
  <c r="V99" i="21"/>
  <c r="U99" i="21"/>
  <c r="S99" i="21"/>
  <c r="R99" i="21"/>
  <c r="Q99" i="21"/>
  <c r="O99" i="21"/>
  <c r="N99" i="21"/>
  <c r="M99" i="21"/>
  <c r="K99" i="21"/>
  <c r="J99" i="21"/>
  <c r="I99" i="21"/>
  <c r="W98" i="21"/>
  <c r="V98" i="21"/>
  <c r="U98" i="21"/>
  <c r="S98" i="21"/>
  <c r="R98" i="21"/>
  <c r="Q98" i="21"/>
  <c r="O98" i="21"/>
  <c r="N98" i="21"/>
  <c r="M98" i="21"/>
  <c r="K98" i="21"/>
  <c r="J98" i="21"/>
  <c r="I98" i="21"/>
  <c r="W112" i="21"/>
  <c r="V112" i="21"/>
  <c r="U112" i="21"/>
  <c r="S112" i="21"/>
  <c r="R112" i="21"/>
  <c r="Q112" i="21"/>
  <c r="O112" i="21"/>
  <c r="N112" i="21"/>
  <c r="M112" i="21"/>
  <c r="K112" i="21"/>
  <c r="J112" i="21"/>
  <c r="I112" i="21"/>
  <c r="W111" i="21"/>
  <c r="V111" i="21"/>
  <c r="U111" i="21"/>
  <c r="S111" i="21"/>
  <c r="R111" i="21"/>
  <c r="Q111" i="21"/>
  <c r="O111" i="21"/>
  <c r="N111" i="21"/>
  <c r="M111" i="21"/>
  <c r="K111" i="21"/>
  <c r="J111" i="21"/>
  <c r="I111" i="21"/>
  <c r="W110" i="21"/>
  <c r="V110" i="21"/>
  <c r="U110" i="21"/>
  <c r="S110" i="21"/>
  <c r="R110" i="21"/>
  <c r="Q110" i="21"/>
  <c r="O110" i="21"/>
  <c r="N110" i="21"/>
  <c r="M110" i="21"/>
  <c r="K110" i="21"/>
  <c r="J110" i="21"/>
  <c r="I110" i="21"/>
  <c r="W109" i="21"/>
  <c r="V109" i="21"/>
  <c r="U109" i="21"/>
  <c r="S109" i="21"/>
  <c r="R109" i="21"/>
  <c r="Q109" i="21"/>
  <c r="O109" i="21"/>
  <c r="N109" i="21"/>
  <c r="M109" i="21"/>
  <c r="K109" i="21"/>
  <c r="J109" i="21"/>
  <c r="I109" i="21"/>
  <c r="W108" i="21"/>
  <c r="V108" i="21"/>
  <c r="U108" i="21"/>
  <c r="S108" i="21"/>
  <c r="R108" i="21"/>
  <c r="Q108" i="21"/>
  <c r="O108" i="21"/>
  <c r="N108" i="21"/>
  <c r="M108" i="21"/>
  <c r="K108" i="21"/>
  <c r="J108" i="21"/>
  <c r="I108" i="21"/>
  <c r="W107" i="21"/>
  <c r="V107" i="21"/>
  <c r="U107" i="21"/>
  <c r="S107" i="21"/>
  <c r="R107" i="21"/>
  <c r="Q107" i="21"/>
  <c r="O107" i="21"/>
  <c r="N107" i="21"/>
  <c r="M107" i="21"/>
  <c r="K107" i="21"/>
  <c r="J107" i="21"/>
  <c r="I107" i="21"/>
  <c r="W121" i="21"/>
  <c r="V121" i="21"/>
  <c r="U121" i="21"/>
  <c r="S121" i="21"/>
  <c r="R121" i="21"/>
  <c r="Q121" i="21"/>
  <c r="O121" i="21"/>
  <c r="N121" i="21"/>
  <c r="M121" i="21"/>
  <c r="W120" i="21"/>
  <c r="V120" i="21"/>
  <c r="U120" i="21"/>
  <c r="S120" i="21"/>
  <c r="R120" i="21"/>
  <c r="Q120" i="21"/>
  <c r="O120" i="21"/>
  <c r="N120" i="21"/>
  <c r="M120" i="21"/>
  <c r="W118" i="21"/>
  <c r="V118" i="21"/>
  <c r="U118" i="21"/>
  <c r="S118" i="21"/>
  <c r="R118" i="21"/>
  <c r="Q118" i="21"/>
  <c r="O118" i="21"/>
  <c r="N118" i="21"/>
  <c r="M118" i="21"/>
  <c r="W117" i="21"/>
  <c r="V117" i="21"/>
  <c r="U117" i="21"/>
  <c r="S117" i="21"/>
  <c r="R117" i="21"/>
  <c r="Q117" i="21"/>
  <c r="O117" i="21"/>
  <c r="N117" i="21"/>
  <c r="M117" i="21"/>
  <c r="W116" i="21"/>
  <c r="V116" i="21"/>
  <c r="U116" i="21"/>
  <c r="S116" i="21"/>
  <c r="R116" i="21"/>
  <c r="Q116" i="21"/>
  <c r="O116" i="21"/>
  <c r="N116" i="21"/>
  <c r="M116" i="21"/>
  <c r="W115" i="21"/>
  <c r="V115" i="21"/>
  <c r="U115" i="21"/>
  <c r="S115" i="21"/>
  <c r="R115" i="21"/>
  <c r="Q115" i="21"/>
  <c r="O115" i="21"/>
  <c r="N115" i="21"/>
  <c r="M115" i="21"/>
  <c r="W114" i="21"/>
  <c r="V114" i="21"/>
  <c r="U114" i="21"/>
  <c r="S114" i="21"/>
  <c r="R114" i="21"/>
  <c r="Q114" i="21"/>
  <c r="O114" i="21"/>
  <c r="N114" i="21"/>
  <c r="M114" i="21"/>
  <c r="K121" i="21"/>
  <c r="J121" i="21"/>
  <c r="I121" i="21"/>
  <c r="K120" i="21"/>
  <c r="J120" i="21"/>
  <c r="I120" i="21"/>
  <c r="K118" i="21"/>
  <c r="J118" i="21"/>
  <c r="I118" i="21"/>
  <c r="K117" i="21"/>
  <c r="J117" i="21"/>
  <c r="I117" i="21"/>
  <c r="K116" i="21"/>
  <c r="J116" i="21"/>
  <c r="I116" i="21"/>
  <c r="K115" i="21"/>
  <c r="J115" i="21"/>
  <c r="I115" i="21"/>
  <c r="K114" i="21"/>
  <c r="J114" i="21"/>
  <c r="I114" i="21"/>
  <c r="G120" i="21"/>
  <c r="G118" i="21"/>
  <c r="G117" i="21"/>
  <c r="G116" i="21"/>
  <c r="G115" i="21"/>
  <c r="E121" i="21"/>
  <c r="E120" i="21"/>
  <c r="E116" i="21"/>
  <c r="E117" i="21"/>
  <c r="E118" i="21"/>
  <c r="E114" i="21"/>
  <c r="E115" i="21"/>
  <c r="E113" i="21"/>
  <c r="E112" i="21"/>
  <c r="E111" i="21"/>
  <c r="W97" i="21"/>
  <c r="V97" i="21"/>
  <c r="U97" i="21"/>
  <c r="S97" i="21"/>
  <c r="R97" i="21"/>
  <c r="Q97" i="21"/>
  <c r="O97" i="21"/>
  <c r="N97" i="21"/>
  <c r="M97" i="21"/>
  <c r="K97" i="21"/>
  <c r="J97" i="21"/>
  <c r="I97" i="21"/>
  <c r="E106" i="21"/>
  <c r="E98" i="21"/>
  <c r="E99" i="21"/>
  <c r="E100" i="21"/>
  <c r="E97" i="21"/>
  <c r="E90" i="21"/>
  <c r="E91" i="21"/>
  <c r="E92" i="21"/>
  <c r="E89" i="21"/>
  <c r="E88" i="21"/>
  <c r="E83" i="21"/>
  <c r="E81" i="21"/>
  <c r="E82" i="21"/>
  <c r="E80" i="21"/>
  <c r="M130" i="21" l="1"/>
  <c r="N130" i="21"/>
  <c r="Q130" i="21"/>
  <c r="W130" i="21"/>
  <c r="W129" i="21"/>
  <c r="M129" i="21"/>
  <c r="U130" i="21"/>
  <c r="K129" i="21"/>
  <c r="R130" i="21"/>
  <c r="O130" i="21"/>
  <c r="V129" i="21"/>
  <c r="S130" i="21"/>
  <c r="O128" i="21"/>
  <c r="N128" i="21"/>
  <c r="N129" i="21"/>
  <c r="I128" i="21"/>
  <c r="S128" i="21"/>
  <c r="R128" i="21"/>
  <c r="I130" i="21"/>
  <c r="O129" i="21"/>
  <c r="J128" i="21"/>
  <c r="U128" i="21"/>
  <c r="Q128" i="21"/>
  <c r="J130" i="21"/>
  <c r="Q129" i="21"/>
  <c r="K128" i="21"/>
  <c r="V128" i="21"/>
  <c r="K130" i="21"/>
  <c r="V130" i="21"/>
  <c r="R129" i="21"/>
  <c r="M128" i="21"/>
  <c r="W128" i="21"/>
  <c r="E128" i="21"/>
  <c r="E129" i="21"/>
  <c r="E130" i="21"/>
  <c r="E110" i="21"/>
  <c r="E109" i="21"/>
  <c r="E108" i="21"/>
  <c r="E107" i="21"/>
  <c r="H110" i="21"/>
  <c r="T110" i="21"/>
  <c r="P110" i="21"/>
  <c r="L110" i="21" l="1"/>
  <c r="G110" i="21" l="1"/>
  <c r="F110" i="21"/>
  <c r="H109" i="21"/>
  <c r="L109" i="21"/>
  <c r="P109" i="21"/>
  <c r="T109" i="21"/>
  <c r="I72" i="21" l="1"/>
  <c r="J72" i="21"/>
  <c r="K72" i="21"/>
  <c r="M72" i="21"/>
  <c r="N72" i="21"/>
  <c r="O72" i="21"/>
  <c r="Q72" i="21"/>
  <c r="R72" i="21"/>
  <c r="S72" i="21"/>
  <c r="U72" i="21"/>
  <c r="V72" i="21"/>
  <c r="W72" i="21"/>
  <c r="E72" i="21"/>
  <c r="E71" i="21"/>
  <c r="W106" i="21"/>
  <c r="V106" i="21"/>
  <c r="U106" i="21"/>
  <c r="S106" i="21"/>
  <c r="R106" i="21"/>
  <c r="Q106" i="21"/>
  <c r="O106" i="21"/>
  <c r="N106" i="21"/>
  <c r="M106" i="21"/>
  <c r="K106" i="21"/>
  <c r="J106" i="21"/>
  <c r="I106" i="21"/>
  <c r="P99" i="21"/>
  <c r="T99" i="21"/>
  <c r="T98" i="21"/>
  <c r="P98" i="21"/>
  <c r="L100" i="21"/>
  <c r="L99" i="21"/>
  <c r="L98" i="21"/>
  <c r="H99" i="21"/>
  <c r="H98" i="21"/>
  <c r="H100" i="21"/>
  <c r="T121" i="21"/>
  <c r="P121" i="21"/>
  <c r="L121" i="21"/>
  <c r="H121" i="21"/>
  <c r="P112" i="21" l="1"/>
  <c r="P108" i="21"/>
  <c r="T108" i="21"/>
  <c r="T112" i="21"/>
  <c r="L112" i="21"/>
  <c r="L108" i="21"/>
  <c r="H107" i="21"/>
  <c r="H111" i="21"/>
  <c r="L111" i="21"/>
  <c r="L107" i="21"/>
  <c r="P107" i="21"/>
  <c r="P111" i="21"/>
  <c r="G109" i="21"/>
  <c r="F109" i="21"/>
  <c r="T111" i="21"/>
  <c r="T107" i="21"/>
  <c r="H112" i="21"/>
  <c r="H108" i="21"/>
  <c r="G121" i="21"/>
  <c r="H106" i="21"/>
  <c r="F99" i="21" l="1"/>
  <c r="F112" i="21"/>
  <c r="F108" i="21"/>
  <c r="F98" i="21"/>
  <c r="F111" i="21"/>
  <c r="F107" i="21"/>
  <c r="F100" i="21"/>
  <c r="G112" i="21" l="1"/>
  <c r="G108" i="21"/>
  <c r="G111" i="21"/>
  <c r="G107" i="21"/>
  <c r="E73" i="21"/>
  <c r="E79" i="21"/>
  <c r="E127" i="21" s="1"/>
  <c r="W71" i="21"/>
  <c r="V71" i="21"/>
  <c r="U71" i="21"/>
  <c r="R71" i="21"/>
  <c r="Q71" i="21"/>
  <c r="N71" i="21"/>
  <c r="M71" i="21"/>
  <c r="H72" i="21" l="1"/>
  <c r="I71" i="21"/>
  <c r="J71" i="21"/>
  <c r="O71" i="21" l="1"/>
  <c r="P72" i="21"/>
  <c r="K71" i="21"/>
  <c r="L72" i="21"/>
  <c r="T72" i="21"/>
  <c r="L71" i="21"/>
  <c r="S71" i="21"/>
  <c r="T71" i="21"/>
  <c r="P71" i="21"/>
  <c r="H71" i="21"/>
  <c r="T120" i="21" l="1"/>
  <c r="T130" i="21" s="1"/>
  <c r="P120" i="21"/>
  <c r="P130" i="21" s="1"/>
  <c r="L120" i="21"/>
  <c r="L130" i="21" s="1"/>
  <c r="H120" i="21"/>
  <c r="H130" i="21" s="1"/>
  <c r="T118" i="21"/>
  <c r="P118" i="21"/>
  <c r="L118" i="21"/>
  <c r="H118" i="21"/>
  <c r="T117" i="21"/>
  <c r="P117" i="21"/>
  <c r="L117" i="21"/>
  <c r="H117" i="21"/>
  <c r="T116" i="21"/>
  <c r="P116" i="21"/>
  <c r="L116" i="21"/>
  <c r="H116" i="21"/>
  <c r="T115" i="21"/>
  <c r="P115" i="21"/>
  <c r="L115" i="21"/>
  <c r="H115" i="21"/>
  <c r="T114" i="21"/>
  <c r="P114" i="21"/>
  <c r="L114" i="21"/>
  <c r="H114" i="21"/>
  <c r="S113" i="21"/>
  <c r="R113" i="21"/>
  <c r="Q113" i="21"/>
  <c r="O113" i="21"/>
  <c r="N113" i="21"/>
  <c r="M113" i="21"/>
  <c r="K113" i="21"/>
  <c r="G71" i="21" l="1"/>
  <c r="F72" i="21"/>
  <c r="F71" i="21"/>
  <c r="P113" i="21"/>
  <c r="L113" i="21"/>
  <c r="G114" i="21"/>
  <c r="T106" i="21" l="1"/>
  <c r="L106" i="21"/>
  <c r="T82" i="21" l="1"/>
  <c r="P82" i="21"/>
  <c r="L82" i="21"/>
  <c r="H82" i="21"/>
  <c r="T81" i="21"/>
  <c r="P81" i="21"/>
  <c r="L81" i="21"/>
  <c r="H81" i="21"/>
  <c r="T80" i="21"/>
  <c r="P80" i="21"/>
  <c r="L80" i="21"/>
  <c r="H80" i="21"/>
  <c r="T128" i="21" l="1"/>
  <c r="H128" i="21"/>
  <c r="L128" i="21"/>
  <c r="P128" i="21"/>
  <c r="S88" i="21"/>
  <c r="K88" i="21"/>
  <c r="V88" i="21"/>
  <c r="M88" i="21"/>
  <c r="W88" i="21"/>
  <c r="T97" i="21"/>
  <c r="T83" i="21"/>
  <c r="T129" i="21" s="1"/>
  <c r="P97" i="21"/>
  <c r="P83" i="21"/>
  <c r="P129" i="21" s="1"/>
  <c r="R88" i="21"/>
  <c r="J88" i="21"/>
  <c r="U88" i="21"/>
  <c r="H97" i="21"/>
  <c r="H83" i="21"/>
  <c r="H129" i="21" s="1"/>
  <c r="N88" i="21"/>
  <c r="L97" i="21"/>
  <c r="L83" i="21"/>
  <c r="L129" i="21" s="1"/>
  <c r="O88" i="21"/>
  <c r="Q88" i="21"/>
  <c r="I88" i="21"/>
  <c r="F106" i="21"/>
  <c r="P106" i="21"/>
  <c r="H88" i="21"/>
  <c r="P88" i="21"/>
  <c r="L88" i="21"/>
  <c r="T88" i="21"/>
  <c r="T73" i="21" l="1"/>
  <c r="L79" i="21"/>
  <c r="L127" i="21" s="1"/>
  <c r="Q73" i="21"/>
  <c r="Q79" i="21"/>
  <c r="Q127" i="21" s="1"/>
  <c r="U73" i="21"/>
  <c r="U79" i="21"/>
  <c r="J73" i="21"/>
  <c r="J79" i="21"/>
  <c r="W73" i="21"/>
  <c r="W79" i="21"/>
  <c r="I73" i="21"/>
  <c r="I79" i="21"/>
  <c r="N73" i="21"/>
  <c r="N79" i="21"/>
  <c r="N127" i="21" s="1"/>
  <c r="R73" i="21"/>
  <c r="R79" i="21"/>
  <c r="R127" i="21" s="1"/>
  <c r="M73" i="21"/>
  <c r="M79" i="21"/>
  <c r="M127" i="21" s="1"/>
  <c r="V73" i="21"/>
  <c r="V79" i="21"/>
  <c r="K73" i="21"/>
  <c r="K79" i="21"/>
  <c r="K127" i="21" s="1"/>
  <c r="S73" i="21"/>
  <c r="S79" i="21"/>
  <c r="S127" i="21" s="1"/>
  <c r="O73" i="21"/>
  <c r="O79" i="21"/>
  <c r="O127" i="21" s="1"/>
  <c r="T79" i="21" l="1"/>
  <c r="L73" i="21"/>
  <c r="H73" i="21"/>
  <c r="H79" i="21"/>
  <c r="P73" i="21"/>
  <c r="P79" i="21"/>
  <c r="P127" i="21" s="1"/>
  <c r="T92" i="21"/>
  <c r="T91" i="21"/>
  <c r="T90" i="21"/>
  <c r="T89" i="21"/>
  <c r="P92" i="21"/>
  <c r="P91" i="21"/>
  <c r="P90" i="21"/>
  <c r="P89" i="21"/>
  <c r="L92" i="21"/>
  <c r="L91" i="21"/>
  <c r="L90" i="21"/>
  <c r="L89" i="21"/>
  <c r="H92" i="21"/>
  <c r="H91" i="21"/>
  <c r="H90" i="21"/>
  <c r="H89" i="21"/>
  <c r="F73" i="21" l="1"/>
  <c r="G73" i="21" s="1"/>
  <c r="F121" i="21" l="1"/>
  <c r="F120" i="21"/>
  <c r="F119" i="21"/>
  <c r="F118" i="21"/>
  <c r="F117" i="21"/>
  <c r="F116" i="21"/>
  <c r="F115" i="21"/>
  <c r="F114" i="21"/>
  <c r="G105" i="21"/>
  <c r="F105" i="21"/>
  <c r="G104" i="21"/>
  <c r="F104" i="21"/>
  <c r="G103" i="21"/>
  <c r="F103" i="21"/>
  <c r="G102" i="21"/>
  <c r="F102" i="21"/>
  <c r="G101" i="21"/>
  <c r="F101" i="21"/>
  <c r="G100" i="21"/>
  <c r="G99" i="21"/>
  <c r="G98" i="21"/>
  <c r="G96" i="21"/>
  <c r="F96" i="21"/>
  <c r="G95" i="21"/>
  <c r="F95" i="21"/>
  <c r="G94" i="21"/>
  <c r="F94" i="21"/>
  <c r="G93" i="21"/>
  <c r="F93" i="21"/>
  <c r="F92" i="21"/>
  <c r="G92" i="21" s="1"/>
  <c r="F91" i="21"/>
  <c r="G91" i="21" s="1"/>
  <c r="F90" i="21"/>
  <c r="G90" i="21" s="1"/>
  <c r="F89" i="21"/>
  <c r="G89" i="21" s="1"/>
  <c r="G87" i="21"/>
  <c r="F87" i="21"/>
  <c r="G86" i="21"/>
  <c r="F86" i="21"/>
  <c r="G85" i="21"/>
  <c r="F85" i="21"/>
  <c r="G84" i="21"/>
  <c r="F84" i="21"/>
  <c r="F83" i="21"/>
  <c r="G83" i="21" s="1"/>
  <c r="G72" i="21"/>
  <c r="W113" i="21"/>
  <c r="W127" i="21" s="1"/>
  <c r="V113" i="21"/>
  <c r="V127" i="21" s="1"/>
  <c r="J113" i="21"/>
  <c r="J127" i="21" s="1"/>
  <c r="F130" i="21" l="1"/>
  <c r="G130" i="21" s="1"/>
  <c r="F88" i="21"/>
  <c r="G88" i="21" s="1"/>
  <c r="H113" i="21" l="1"/>
  <c r="H127" i="21" s="1"/>
  <c r="I113" i="21"/>
  <c r="I127" i="21" s="1"/>
  <c r="F97" i="21"/>
  <c r="G97" i="21" s="1"/>
  <c r="T113" i="21"/>
  <c r="T127" i="21" s="1"/>
  <c r="U113" i="21"/>
  <c r="U127" i="21" s="1"/>
  <c r="F81" i="21"/>
  <c r="F82" i="21"/>
  <c r="G82" i="21" s="1"/>
  <c r="F128" i="21" l="1"/>
  <c r="G128" i="21" s="1"/>
  <c r="G113" i="21"/>
  <c r="G81" i="21"/>
  <c r="F80" i="21"/>
  <c r="F129" i="21" s="1"/>
  <c r="G129" i="21" s="1"/>
  <c r="F113" i="21" l="1"/>
  <c r="F79" i="21"/>
  <c r="G80" i="21"/>
  <c r="F74" i="14"/>
  <c r="G74" i="14"/>
  <c r="F75" i="14"/>
  <c r="G75" i="14"/>
  <c r="F127" i="21" l="1"/>
  <c r="G127" i="21" s="1"/>
  <c r="G79" i="21"/>
  <c r="F77" i="18"/>
  <c r="G77" i="18" s="1"/>
  <c r="F76" i="18"/>
  <c r="G76" i="18" s="1"/>
  <c r="F74" i="18"/>
  <c r="G74" i="18" s="1"/>
  <c r="F75" i="18"/>
  <c r="G75" i="18" s="1"/>
  <c r="F73" i="18"/>
  <c r="G73" i="18" s="1"/>
  <c r="F72" i="18"/>
  <c r="G72" i="18" s="1"/>
  <c r="G65" i="18"/>
  <c r="F65" i="18"/>
  <c r="G64" i="18"/>
  <c r="F64" i="18"/>
  <c r="G63" i="18"/>
  <c r="F63" i="18"/>
  <c r="G62" i="18"/>
  <c r="F62" i="18"/>
  <c r="T61" i="18"/>
  <c r="S61" i="18"/>
  <c r="R61" i="18"/>
  <c r="Q61" i="18"/>
  <c r="P61" i="18"/>
  <c r="O61" i="18"/>
  <c r="N61" i="18"/>
  <c r="M61" i="18"/>
  <c r="L61" i="18"/>
  <c r="K61" i="18"/>
  <c r="J61" i="18"/>
  <c r="I61" i="18"/>
  <c r="E61" i="18"/>
  <c r="F71" i="18"/>
  <c r="G60" i="18"/>
  <c r="F60" i="18"/>
  <c r="G59" i="18"/>
  <c r="F59" i="18"/>
  <c r="G58" i="18"/>
  <c r="F58" i="18"/>
  <c r="G57" i="18"/>
  <c r="F57" i="18"/>
  <c r="T56" i="18"/>
  <c r="S56" i="18"/>
  <c r="R56" i="18"/>
  <c r="Q56" i="18"/>
  <c r="P56" i="18"/>
  <c r="O56" i="18"/>
  <c r="N56" i="18"/>
  <c r="M56" i="18"/>
  <c r="L56" i="18"/>
  <c r="K56" i="18"/>
  <c r="J56" i="18"/>
  <c r="I56" i="18"/>
  <c r="E56" i="18"/>
  <c r="G67" i="18"/>
  <c r="F67" i="18"/>
  <c r="G66" i="18"/>
  <c r="F66" i="18"/>
  <c r="G55" i="18"/>
  <c r="F55" i="18"/>
  <c r="G54" i="18"/>
  <c r="F54" i="18"/>
  <c r="G53" i="18"/>
  <c r="F53" i="18"/>
  <c r="G52" i="18"/>
  <c r="F52" i="18"/>
  <c r="G51" i="18"/>
  <c r="F51" i="18"/>
  <c r="G50" i="18"/>
  <c r="F50" i="18"/>
  <c r="G49" i="18"/>
  <c r="F49" i="18"/>
  <c r="G48" i="18"/>
  <c r="F48" i="18"/>
  <c r="G47" i="18"/>
  <c r="F47" i="18"/>
  <c r="T73" i="14"/>
  <c r="S73" i="14"/>
  <c r="R73" i="14"/>
  <c r="Q73" i="14"/>
  <c r="P73" i="14"/>
  <c r="O73" i="14"/>
  <c r="N73" i="14"/>
  <c r="M73" i="14"/>
  <c r="L73" i="14"/>
  <c r="K73" i="14"/>
  <c r="J73" i="14"/>
  <c r="I73" i="14"/>
  <c r="H73" i="14"/>
  <c r="E73" i="14"/>
  <c r="T67" i="14"/>
  <c r="S67" i="14"/>
  <c r="R67" i="14"/>
  <c r="Q67" i="14"/>
  <c r="P67" i="14"/>
  <c r="O67" i="14"/>
  <c r="N67" i="14"/>
  <c r="M67" i="14"/>
  <c r="L67" i="14"/>
  <c r="K67" i="14"/>
  <c r="J67" i="14"/>
  <c r="I67" i="14"/>
  <c r="H67" i="14"/>
  <c r="E67" i="14"/>
  <c r="G68" i="14"/>
  <c r="F68" i="14"/>
  <c r="G66" i="14"/>
  <c r="F66" i="14"/>
  <c r="G65" i="14"/>
  <c r="F65" i="14"/>
  <c r="G64" i="14"/>
  <c r="F64" i="14"/>
  <c r="G63" i="14"/>
  <c r="F63" i="14"/>
  <c r="T62" i="14"/>
  <c r="S62" i="14"/>
  <c r="R62" i="14"/>
  <c r="Q62" i="14"/>
  <c r="P62" i="14"/>
  <c r="O62" i="14"/>
  <c r="N62" i="14"/>
  <c r="M62" i="14"/>
  <c r="L62" i="14"/>
  <c r="K62" i="14"/>
  <c r="J62" i="14"/>
  <c r="I62" i="14"/>
  <c r="E62" i="14"/>
  <c r="F61" i="18" l="1"/>
  <c r="G61" i="18" s="1"/>
  <c r="F56" i="18"/>
  <c r="G56" i="18" s="1"/>
  <c r="G71" i="18"/>
  <c r="F62" i="14"/>
  <c r="G62" i="14" s="1"/>
  <c r="G77" i="14" l="1"/>
  <c r="F77" i="14"/>
  <c r="G76" i="14"/>
  <c r="F76" i="14"/>
  <c r="G69" i="14"/>
  <c r="F69" i="14"/>
  <c r="F67" i="14" s="1"/>
  <c r="G67" i="14" s="1"/>
  <c r="G46" i="18"/>
  <c r="F46" i="18"/>
  <c r="G42" i="18"/>
  <c r="F42" i="18"/>
  <c r="G41" i="18"/>
  <c r="F41" i="18"/>
  <c r="G40" i="18"/>
  <c r="F40" i="18"/>
  <c r="G39" i="18"/>
  <c r="F39" i="18"/>
  <c r="G38" i="18"/>
  <c r="F38" i="18"/>
  <c r="G37" i="18"/>
  <c r="F37" i="18"/>
  <c r="G36" i="18"/>
  <c r="F36" i="18"/>
  <c r="G35" i="18"/>
  <c r="F35" i="18"/>
  <c r="G34" i="18"/>
  <c r="F34" i="18"/>
  <c r="G32" i="18"/>
  <c r="F32" i="18"/>
  <c r="G31" i="18"/>
  <c r="F31" i="18"/>
  <c r="G30" i="18"/>
  <c r="F30" i="18"/>
  <c r="G29" i="18"/>
  <c r="F29" i="18"/>
  <c r="G28" i="18"/>
  <c r="F28" i="18"/>
  <c r="G27" i="18"/>
  <c r="F27" i="18"/>
  <c r="G26" i="18"/>
  <c r="F26" i="18"/>
  <c r="G25" i="18"/>
  <c r="F25" i="18"/>
  <c r="G24" i="18"/>
  <c r="F24" i="18"/>
  <c r="G22" i="18"/>
  <c r="F22" i="18"/>
  <c r="G21" i="18"/>
  <c r="F21" i="18"/>
  <c r="G20" i="18"/>
  <c r="F20" i="18"/>
  <c r="G19" i="18"/>
  <c r="F19" i="18"/>
  <c r="G18" i="18"/>
  <c r="F18" i="18"/>
  <c r="G17" i="18"/>
  <c r="F17" i="18"/>
  <c r="G16" i="18"/>
  <c r="F16" i="18"/>
  <c r="G15" i="18"/>
  <c r="F15" i="18"/>
  <c r="G14" i="18"/>
  <c r="F14" i="18"/>
  <c r="C6" i="18"/>
  <c r="F73" i="14" l="1"/>
  <c r="G73" i="14" s="1"/>
  <c r="F31" i="14" l="1"/>
  <c r="F38" i="14"/>
  <c r="F28" i="14"/>
  <c r="G28" i="14"/>
  <c r="F29" i="14"/>
  <c r="G29" i="14"/>
  <c r="G56" i="14"/>
  <c r="F56" i="14"/>
  <c r="G55" i="14"/>
  <c r="F55" i="14"/>
  <c r="G54" i="14"/>
  <c r="F54" i="14"/>
  <c r="G53" i="14"/>
  <c r="F53" i="14"/>
  <c r="G52" i="14"/>
  <c r="F52" i="14"/>
  <c r="G51" i="14"/>
  <c r="F51" i="14"/>
  <c r="G24" i="14"/>
  <c r="F24" i="14"/>
  <c r="G23" i="14"/>
  <c r="F23" i="14"/>
  <c r="G22" i="14"/>
  <c r="F22" i="14"/>
  <c r="G21" i="14"/>
  <c r="F21" i="14"/>
  <c r="G20" i="14"/>
  <c r="F20" i="14"/>
  <c r="G19" i="14"/>
  <c r="F19" i="14"/>
  <c r="G36" i="14"/>
  <c r="F36" i="14"/>
  <c r="G35" i="14"/>
  <c r="F35" i="14"/>
  <c r="G34" i="14"/>
  <c r="F34" i="14"/>
  <c r="G33" i="14"/>
  <c r="F33" i="14"/>
  <c r="G32" i="14"/>
  <c r="F32" i="14"/>
  <c r="G31" i="14"/>
  <c r="G46" i="14"/>
  <c r="F46" i="14"/>
  <c r="G45" i="14"/>
  <c r="F45" i="14"/>
  <c r="G44" i="14"/>
  <c r="F44" i="14"/>
  <c r="G43" i="14"/>
  <c r="F43" i="14"/>
  <c r="G42" i="14"/>
  <c r="F42" i="14"/>
  <c r="G41" i="14"/>
  <c r="F41" i="14"/>
  <c r="F50" i="14"/>
  <c r="G50" i="14"/>
  <c r="F48" i="14"/>
  <c r="G48" i="14"/>
  <c r="F49" i="14"/>
  <c r="G49" i="14"/>
  <c r="F16" i="14"/>
  <c r="G16" i="14"/>
  <c r="F17" i="14"/>
  <c r="G17" i="14"/>
  <c r="F18" i="14"/>
  <c r="G18" i="14"/>
  <c r="F26" i="14"/>
  <c r="G26" i="14"/>
  <c r="F27" i="14"/>
  <c r="G27" i="14"/>
  <c r="F30" i="14"/>
  <c r="G30" i="14"/>
  <c r="G38" i="14"/>
  <c r="F39" i="14"/>
  <c r="G39" i="14"/>
  <c r="F40" i="14"/>
  <c r="G40" i="14"/>
  <c r="C6" i="14"/>
  <c r="C17" i="10"/>
  <c r="D37" i="10"/>
  <c r="G106" i="21" l="1"/>
</calcChain>
</file>

<file path=xl/sharedStrings.xml><?xml version="1.0" encoding="utf-8"?>
<sst xmlns="http://schemas.openxmlformats.org/spreadsheetml/2006/main" count="439" uniqueCount="291">
  <si>
    <t>PART 1: General Project Information</t>
  </si>
  <si>
    <t xml:space="preserve">Reporting Month: </t>
  </si>
  <si>
    <t>ACTIVITY PROGRESS REPORT</t>
  </si>
  <si>
    <t>Country:</t>
  </si>
  <si>
    <t>Afghanistan</t>
  </si>
  <si>
    <t>Targeted Area (s):</t>
  </si>
  <si>
    <t>Ghor, Badakhshan, Kabul</t>
  </si>
  <si>
    <t>Project Title:</t>
  </si>
  <si>
    <t>Project Manager</t>
  </si>
  <si>
    <t>ACF internal project codes</t>
  </si>
  <si>
    <t>Start date</t>
  </si>
  <si>
    <t>End date</t>
  </si>
  <si>
    <t>Total Budget (with currency)</t>
  </si>
  <si>
    <t>FSL Total direct beneficiaries targeted</t>
  </si>
  <si>
    <t xml:space="preserve">1,020HHs </t>
  </si>
  <si>
    <t>WASH Total direct beneficiaries targeted</t>
  </si>
  <si>
    <t>2500 Individuals</t>
  </si>
  <si>
    <t>NUT-H Total direct beneficiaries targeted</t>
  </si>
  <si>
    <t>3128 households</t>
  </si>
  <si>
    <t>MHCP Total direct beneficiaries targeted</t>
  </si>
  <si>
    <t xml:space="preserve">9,360 individuals </t>
  </si>
  <si>
    <t>DRM Total direct beneficiaries targeted</t>
  </si>
  <si>
    <t>% Time progress</t>
  </si>
  <si>
    <r>
      <rPr>
        <b/>
        <sz val="11"/>
        <rFont val="Lato"/>
        <family val="2"/>
      </rPr>
      <t>Integrated project 
Tick the boxes covered by the project</t>
    </r>
    <r>
      <rPr>
        <b/>
        <sz val="10"/>
        <rFont val="Lato"/>
        <family val="2"/>
      </rPr>
      <t xml:space="preserve">
</t>
    </r>
    <r>
      <rPr>
        <sz val="10"/>
        <rFont val="Lato"/>
        <family val="2"/>
      </rPr>
      <t>This will show the Part 2 tabs by sector.
No risk of losing data: macro only show/hides existing tabs.
Renaming the tabs breaks the macro.
NB : There is no Advocay sheet but if your project has advocay activities, please tick the Advocay box</t>
    </r>
  </si>
  <si>
    <t>Food Security &amp; Livelihoods</t>
  </si>
  <si>
    <t>WASH</t>
  </si>
  <si>
    <t>Nutrition &amp; Health</t>
  </si>
  <si>
    <t>MHPSS</t>
  </si>
  <si>
    <t>DRM</t>
  </si>
  <si>
    <t>Advocacy</t>
  </si>
  <si>
    <r>
      <rPr>
        <b/>
        <sz val="14"/>
        <color theme="0"/>
        <rFont val="Lato"/>
        <family val="2"/>
      </rPr>
      <t>Partnerships</t>
    </r>
    <r>
      <rPr>
        <sz val="14"/>
        <color theme="0"/>
        <rFont val="Lato"/>
        <family val="2"/>
      </rPr>
      <t xml:space="preserve"> </t>
    </r>
    <r>
      <rPr>
        <sz val="11"/>
        <color theme="0"/>
        <rFont val="Lato"/>
        <family val="2"/>
      </rPr>
      <t xml:space="preserve">
</t>
    </r>
    <r>
      <rPr>
        <b/>
        <sz val="11"/>
        <color theme="0"/>
        <rFont val="Lato"/>
        <family val="2"/>
      </rPr>
      <t xml:space="preserve">(i.e. partnerships that actually translated into joint implementation of either research initiatives or programmes. </t>
    </r>
    <r>
      <rPr>
        <sz val="11"/>
        <color theme="0"/>
        <rFont val="Lato"/>
        <family val="2"/>
      </rPr>
      <t xml:space="preserve">
► </t>
    </r>
    <r>
      <rPr>
        <u/>
        <sz val="11"/>
        <color theme="0"/>
        <rFont val="Lato"/>
        <family val="2"/>
      </rPr>
      <t>Count in:</t>
    </r>
    <r>
      <rPr>
        <sz val="11"/>
        <color theme="0"/>
        <rFont val="Lato"/>
        <family val="2"/>
      </rPr>
      <t xml:space="preserve"> Partnerships with MoUs or without MoU but significant joint implementation
► </t>
    </r>
    <r>
      <rPr>
        <u/>
        <sz val="11"/>
        <color theme="0"/>
        <rFont val="Lato"/>
        <family val="2"/>
      </rPr>
      <t>Don't count in</t>
    </r>
    <r>
      <rPr>
        <sz val="11"/>
        <color theme="0"/>
        <rFont val="Lato"/>
        <family val="2"/>
      </rPr>
      <t>: A sterile MoU should not be considered unless part of a Long-term agreement process)</t>
    </r>
  </si>
  <si>
    <t>Consortium</t>
  </si>
  <si>
    <t>Type of partners</t>
  </si>
  <si>
    <t>Name of partners</t>
  </si>
  <si>
    <t>Number of partners</t>
  </si>
  <si>
    <t>The project is a consortium ?</t>
  </si>
  <si>
    <t>National Government, Ministries and Public Agencies</t>
  </si>
  <si>
    <t>AAH is a member of the consortium</t>
  </si>
  <si>
    <t>Local Government</t>
  </si>
  <si>
    <t>AAH is the leader of the consortium</t>
  </si>
  <si>
    <t>International NGO</t>
  </si>
  <si>
    <t>National or Local NGO</t>
  </si>
  <si>
    <t>Academic, Think Tanks and Scientific Bodies (national or international)</t>
  </si>
  <si>
    <t>Private Sector</t>
  </si>
  <si>
    <t>UN Agencies</t>
  </si>
  <si>
    <t>Other</t>
  </si>
  <si>
    <t>TOTAL</t>
  </si>
  <si>
    <t>ACTIVITY PROGRESS REPORT
MENTAL HEALTH &amp; PSYCHOSOCIAL SUPPORT</t>
  </si>
  <si>
    <t>Monthly Regular</t>
  </si>
  <si>
    <t>Province</t>
  </si>
  <si>
    <t>PART 2: LFA - Indicator Tracking and Program Activities Follow-Up</t>
  </si>
  <si>
    <t xml:space="preserve">To be completed by the Project Manager or responsible staff based on the project logical framework and workplan. </t>
  </si>
  <si>
    <r>
      <rPr>
        <b/>
        <sz val="11"/>
        <color rgb="FF006CB6"/>
        <rFont val="Lato"/>
        <family val="2"/>
      </rPr>
      <t>WHITE cells</t>
    </r>
    <r>
      <rPr>
        <sz val="11"/>
        <color rgb="FF006CB6"/>
        <rFont val="Lato"/>
        <family val="2"/>
      </rPr>
      <t xml:space="preserve"> are to be filled according to the project.   </t>
    </r>
    <r>
      <rPr>
        <b/>
        <sz val="11"/>
        <color rgb="FF006CB6"/>
        <rFont val="Lato"/>
        <family val="2"/>
      </rPr>
      <t>YELLOW cells</t>
    </r>
    <r>
      <rPr>
        <sz val="11"/>
        <color rgb="FF006CB6"/>
        <rFont val="Lato"/>
        <family val="2"/>
      </rPr>
      <t xml:space="preserve"> are cells that should have been filled. </t>
    </r>
    <r>
      <rPr>
        <b/>
        <sz val="11"/>
        <color rgb="FF006CB6"/>
        <rFont val="Lato"/>
        <family val="2"/>
      </rPr>
      <t>GREY cells</t>
    </r>
    <r>
      <rPr>
        <sz val="11"/>
        <color rgb="FF006CB6"/>
        <rFont val="Lato"/>
        <family val="2"/>
      </rPr>
      <t xml:space="preserve"> are not to be filled. </t>
    </r>
    <r>
      <rPr>
        <b/>
        <sz val="11"/>
        <color rgb="FF006CB6"/>
        <rFont val="Lato"/>
        <family val="2"/>
      </rPr>
      <t>BLUE cells</t>
    </r>
    <r>
      <rPr>
        <sz val="11"/>
        <color rgb="FF006CB6"/>
        <rFont val="Lato"/>
        <family val="2"/>
      </rPr>
      <t xml:space="preserve"> contain a formula that should not be changed. </t>
    </r>
  </si>
  <si>
    <t>Impact and Outcome Objectives (LFA)</t>
  </si>
  <si>
    <t>Indicators or Implementation Steps</t>
  </si>
  <si>
    <t>Goal (target)</t>
  </si>
  <si>
    <t>Total achievement to date</t>
  </si>
  <si>
    <t>% of target achieved to date</t>
  </si>
  <si>
    <t>PART 3: Network Standard Indicators</t>
  </si>
  <si>
    <t>ISP3 - OUTCOME INDICATORS</t>
  </si>
  <si>
    <t>Double Counting</t>
  </si>
  <si>
    <t>ISP3 - ACTIVITY COUNTING (# of reach)</t>
  </si>
  <si>
    <t>Outputs (LFA)</t>
  </si>
  <si>
    <t xml:space="preserve">Quarter 1 </t>
  </si>
  <si>
    <t>Quarter 2</t>
  </si>
  <si>
    <t>Quarter 3</t>
  </si>
  <si>
    <t>Quarter 4</t>
  </si>
  <si>
    <t># of Female (above 18)</t>
  </si>
  <si>
    <t># of Female under 18 (Girls)</t>
  </si>
  <si>
    <t># of Male (above 18)</t>
  </si>
  <si>
    <t># of Male (Under 18)</t>
  </si>
  <si>
    <t># of Female (Under 18)</t>
  </si>
  <si>
    <t xml:space="preserve"> Improved  Mental health and psychosocial well-being</t>
  </si>
  <si>
    <t>% of individuals having improved their Mental health and psychosocial well-being</t>
  </si>
  <si>
    <t>Monitored Value: Number of individuals having improved their mental health and psychosocial well-being 
(out of reach of care practices/treatment for severe acute malnutrition + reach of care practices/prevention of malnutrition + reach of MHPSS interventions</t>
  </si>
  <si>
    <t xml:space="preserve">Target Population: Number of supported individuals </t>
  </si>
  <si>
    <t>ISP3 OUTPUT SUB-INDICATORS (Total transfers)</t>
  </si>
  <si>
    <t># of people of at-risk group or vulnerable receiving focused MHPSS care</t>
  </si>
  <si>
    <t>Among which # of adult men</t>
  </si>
  <si>
    <t>Among which # of adult woman</t>
  </si>
  <si>
    <t>Among which # of female adolescents (12 to 17 years old)</t>
  </si>
  <si>
    <t>Among which # of  male adolescents (12 to 17 years old)</t>
  </si>
  <si>
    <t>Among which # of boys 6-11 yo</t>
  </si>
  <si>
    <t>Among which # of girls 6-11 yo</t>
  </si>
  <si>
    <t>Among which # of boys U5Y receiving</t>
  </si>
  <si>
    <t>Among which # of girls U5Y receiving</t>
  </si>
  <si>
    <t>Number of people receiving MHPSS and Protection in IEC session - in service delivery</t>
  </si>
  <si>
    <t xml:space="preserve">Among which female adults </t>
  </si>
  <si>
    <t xml:space="preserve">Among which male adults </t>
  </si>
  <si>
    <t>Among which female adolescents (12 to 17 years old)</t>
  </si>
  <si>
    <t xml:space="preserve">Among which male adolescents (12 to 17 years old) </t>
  </si>
  <si>
    <t xml:space="preserve">Among which female children (6 to 11 years old) </t>
  </si>
  <si>
    <t>Among which male children (6 to 11 years old)</t>
  </si>
  <si>
    <t xml:space="preserve">Among which female children U5Y  </t>
  </si>
  <si>
    <t>Among which male children U5Y</t>
  </si>
  <si>
    <t>Number of people involved in MHPSS community coverage - in service delivery</t>
  </si>
  <si>
    <r>
      <t>Among which</t>
    </r>
    <r>
      <rPr>
        <b/>
        <sz val="11"/>
        <rFont val="Lato"/>
        <family val="2"/>
      </rPr>
      <t xml:space="preserve"> Community members - </t>
    </r>
    <r>
      <rPr>
        <sz val="11"/>
        <rFont val="Lato"/>
        <family val="2"/>
      </rPr>
      <t>Female Adult</t>
    </r>
  </si>
  <si>
    <r>
      <t xml:space="preserve">Among which </t>
    </r>
    <r>
      <rPr>
        <b/>
        <sz val="11"/>
        <rFont val="Lato"/>
        <family val="2"/>
      </rPr>
      <t xml:space="preserve">Community members - </t>
    </r>
    <r>
      <rPr>
        <sz val="11"/>
        <rFont val="Lato"/>
        <family val="2"/>
      </rPr>
      <t xml:space="preserve">Male Adult </t>
    </r>
  </si>
  <si>
    <t>Reach of MHPSS, Care Practices and Protection kits deliveries</t>
  </si>
  <si>
    <t>Number of people reached through MHPSS, Care practices and Protection kits deliveries 
- in kind</t>
  </si>
  <si>
    <t>Outcome indicator 2</t>
  </si>
  <si>
    <t xml:space="preserve">Output R2.1 : 
</t>
  </si>
  <si>
    <t xml:space="preserve">Output Indicator R1.1.3
</t>
  </si>
  <si>
    <t xml:space="preserve">Output R1.2 : 
</t>
  </si>
  <si>
    <r>
      <rPr>
        <b/>
        <sz val="11"/>
        <rFont val="Lato"/>
        <family val="2"/>
      </rPr>
      <t>Output Indicator R1.2.1</t>
    </r>
    <r>
      <rPr>
        <sz val="11"/>
        <rFont val="Lato"/>
        <family val="2"/>
      </rPr>
      <t xml:space="preserve">
</t>
    </r>
  </si>
  <si>
    <r>
      <rPr>
        <b/>
        <sz val="11"/>
        <rFont val="Lato"/>
        <family val="2"/>
      </rPr>
      <t>Output Indicator R1.2.2</t>
    </r>
    <r>
      <rPr>
        <sz val="11"/>
        <rFont val="Lato"/>
        <family val="2"/>
      </rPr>
      <t xml:space="preserve">
</t>
    </r>
  </si>
  <si>
    <r>
      <rPr>
        <b/>
        <sz val="11"/>
        <rFont val="Lato"/>
        <family val="2"/>
      </rPr>
      <t>Output Indicator R1.2.3</t>
    </r>
    <r>
      <rPr>
        <sz val="11"/>
        <rFont val="Lato"/>
        <family val="2"/>
      </rPr>
      <t xml:space="preserve">
</t>
    </r>
  </si>
  <si>
    <t xml:space="preserve">Output R1.3 : 
</t>
  </si>
  <si>
    <r>
      <rPr>
        <b/>
        <sz val="11"/>
        <rFont val="Lato"/>
        <family val="2"/>
      </rPr>
      <t>Output Indicator R1.3.1</t>
    </r>
    <r>
      <rPr>
        <sz val="11"/>
        <rFont val="Lato"/>
        <family val="2"/>
      </rPr>
      <t xml:space="preserve">
</t>
    </r>
  </si>
  <si>
    <r>
      <rPr>
        <b/>
        <sz val="11"/>
        <rFont val="Lato"/>
        <family val="2"/>
      </rPr>
      <t>Output Indicator R1.3.2</t>
    </r>
    <r>
      <rPr>
        <sz val="11"/>
        <rFont val="Lato"/>
        <family val="2"/>
      </rPr>
      <t xml:space="preserve">
</t>
    </r>
  </si>
  <si>
    <r>
      <rPr>
        <b/>
        <sz val="11"/>
        <rFont val="Lato"/>
        <family val="2"/>
      </rPr>
      <t>Output Indicator R1.3.3</t>
    </r>
    <r>
      <rPr>
        <sz val="11"/>
        <rFont val="Lato"/>
        <family val="2"/>
      </rPr>
      <t xml:space="preserve">
</t>
    </r>
  </si>
  <si>
    <r>
      <rPr>
        <b/>
        <sz val="11"/>
        <color rgb="FF006CB6"/>
        <rFont val="Lato"/>
        <family val="2"/>
      </rPr>
      <t>Outcome indicator 2</t>
    </r>
    <r>
      <rPr>
        <b/>
        <sz val="11"/>
        <rFont val="Lato"/>
        <family val="2"/>
      </rPr>
      <t xml:space="preserve">
</t>
    </r>
  </si>
  <si>
    <t xml:space="preserve">Output R2.2 : 
</t>
  </si>
  <si>
    <t xml:space="preserve">Output R2.3 : 
</t>
  </si>
  <si>
    <t xml:space="preserve">Output Indicator R2.3.1
</t>
  </si>
  <si>
    <t xml:space="preserve">Output Indicator R2.3.2
</t>
  </si>
  <si>
    <t xml:space="preserve">Output Indicator R2.3.3
</t>
  </si>
  <si>
    <t xml:space="preserve">Outcome 3: </t>
  </si>
  <si>
    <t>Outcome indicator 3</t>
  </si>
  <si>
    <t xml:space="preserve">Output R3.1 : 
</t>
  </si>
  <si>
    <t xml:space="preserve">Output Indicator R3.1.1
</t>
  </si>
  <si>
    <t xml:space="preserve">Output Indicator R3.1.2
</t>
  </si>
  <si>
    <t xml:space="preserve">Output Indicator R3.1.3
</t>
  </si>
  <si>
    <t xml:space="preserve">Output R3.2 : 
</t>
  </si>
  <si>
    <t xml:space="preserve">Output Indicator R3.2.1
</t>
  </si>
  <si>
    <t xml:space="preserve">Output Indicator R3.2.2
</t>
  </si>
  <si>
    <t xml:space="preserve">Output Indicator R3.2.3
</t>
  </si>
  <si>
    <t xml:space="preserve">Output R3.3 : 
</t>
  </si>
  <si>
    <t xml:space="preserve">Output Indicator R3.3.1
</t>
  </si>
  <si>
    <t xml:space="preserve">Output Indicator R3.3.2
</t>
  </si>
  <si>
    <t xml:space="preserve">Output Indicator R3.3.3
</t>
  </si>
  <si>
    <t>ACTIVITY PROGRESS REPORT
DISASTER RISK MANAGEMENT (DRM)</t>
  </si>
  <si>
    <r>
      <t xml:space="preserve">Impact: 
</t>
    </r>
    <r>
      <rPr>
        <sz val="11"/>
        <color indexed="8"/>
        <rFont val="Lato"/>
        <family val="2"/>
      </rPr>
      <t>(</t>
    </r>
    <r>
      <rPr>
        <u/>
        <sz val="11"/>
        <color indexed="8"/>
        <rFont val="Lato"/>
        <family val="2"/>
      </rPr>
      <t>Example</t>
    </r>
    <r>
      <rPr>
        <sz val="11"/>
        <color indexed="8"/>
        <rFont val="Lato"/>
        <family val="2"/>
      </rPr>
      <t>: To limit the impact of shocks and stresses on nutritional status of vulnerable households, communities or systems)</t>
    </r>
  </si>
  <si>
    <r>
      <t xml:space="preserve">Impact Indicator
</t>
    </r>
    <r>
      <rPr>
        <sz val="11"/>
        <rFont val="Lato"/>
        <family val="2"/>
      </rPr>
      <t>Stability of GAM and SAM rates of communities affected by shocks and stresses (ex : from 10% to maximum 
12% during shocks and stresses then recovery below baseline after 6 months)</t>
    </r>
  </si>
  <si>
    <t>Impact Indicator</t>
  </si>
  <si>
    <r>
      <t xml:space="preserve">Outcome 1: 
</t>
    </r>
    <r>
      <rPr>
        <sz val="11"/>
        <color indexed="8"/>
        <rFont val="Lato"/>
        <family val="2"/>
      </rPr>
      <t>Change in community or system anticipation capacity</t>
    </r>
    <r>
      <rPr>
        <b/>
        <sz val="11"/>
        <color indexed="8"/>
        <rFont val="Lato"/>
        <family val="2"/>
      </rPr>
      <t xml:space="preserve">
</t>
    </r>
  </si>
  <si>
    <t xml:space="preserve">Outcome indicator 1
</t>
  </si>
  <si>
    <r>
      <t xml:space="preserve">Output R1.1 : 
</t>
    </r>
    <r>
      <rPr>
        <sz val="11"/>
        <color indexed="8"/>
        <rFont val="Lato"/>
        <family val="2"/>
      </rPr>
      <t>Improvement of community or system anticipation capacity</t>
    </r>
    <r>
      <rPr>
        <b/>
        <sz val="11"/>
        <color indexed="8"/>
        <rFont val="Lato"/>
        <family val="2"/>
      </rPr>
      <t xml:space="preserve">
</t>
    </r>
  </si>
  <si>
    <r>
      <rPr>
        <b/>
        <sz val="11"/>
        <rFont val="Lato"/>
        <family val="2"/>
      </rPr>
      <t>Output Indicator R1.1.1</t>
    </r>
    <r>
      <rPr>
        <sz val="11"/>
        <rFont val="Lato"/>
        <family val="2"/>
      </rPr>
      <t xml:space="preserve">
</t>
    </r>
    <r>
      <rPr>
        <u/>
        <sz val="11"/>
        <rFont val="Lato"/>
        <family val="2"/>
      </rPr>
      <t>Example</t>
    </r>
    <r>
      <rPr>
        <sz val="11"/>
        <rFont val="Lato"/>
        <family val="2"/>
      </rPr>
      <t>: x% of targeted communities are aware of the risks to which they are exposed and have available a plan to deal with them</t>
    </r>
  </si>
  <si>
    <r>
      <rPr>
        <b/>
        <sz val="11"/>
        <rFont val="Lato"/>
        <family val="2"/>
      </rPr>
      <t xml:space="preserve">Output Indicator R1.1.2
</t>
    </r>
    <r>
      <rPr>
        <u/>
        <sz val="11"/>
        <rFont val="Lato"/>
        <family val="2"/>
      </rPr>
      <t>Example</t>
    </r>
    <r>
      <rPr>
        <sz val="11"/>
        <rFont val="Lato"/>
        <family val="2"/>
      </rPr>
      <t>: x% of targeted communities are covered by an EWS that provides opportune and accurate information</t>
    </r>
  </si>
  <si>
    <r>
      <rPr>
        <b/>
        <sz val="11"/>
        <rFont val="Lato"/>
        <family val="2"/>
      </rPr>
      <t xml:space="preserve">Output Indicator R1.1.3
</t>
    </r>
    <r>
      <rPr>
        <u/>
        <sz val="11"/>
        <rFont val="Lato"/>
        <family val="2"/>
      </rPr>
      <t>Example</t>
    </r>
    <r>
      <rPr>
        <sz val="11"/>
        <rFont val="Lato"/>
        <family val="2"/>
      </rPr>
      <t>: x% of targeted communities have developed contingency mechanisms and have hazard proofed basic services infrastructures</t>
    </r>
  </si>
  <si>
    <r>
      <t xml:space="preserve">Outcome 2: </t>
    </r>
    <r>
      <rPr>
        <sz val="11"/>
        <color indexed="8"/>
        <rFont val="Lato"/>
        <family val="2"/>
      </rPr>
      <t xml:space="preserve">
Change in community or system absorption capacity</t>
    </r>
    <r>
      <rPr>
        <b/>
        <sz val="11"/>
        <color indexed="8"/>
        <rFont val="Lato"/>
        <family val="2"/>
      </rPr>
      <t xml:space="preserve">
</t>
    </r>
  </si>
  <si>
    <r>
      <t xml:space="preserve">Output R2.1 : 
</t>
    </r>
    <r>
      <rPr>
        <sz val="11"/>
        <color indexed="8"/>
        <rFont val="Lato"/>
        <family val="2"/>
      </rPr>
      <t>Improvement of community or system absorption capacity</t>
    </r>
    <r>
      <rPr>
        <b/>
        <sz val="11"/>
        <color indexed="8"/>
        <rFont val="Lato"/>
        <family val="2"/>
      </rPr>
      <t xml:space="preserve">
</t>
    </r>
  </si>
  <si>
    <r>
      <rPr>
        <b/>
        <sz val="11"/>
        <rFont val="Lato"/>
        <family val="2"/>
      </rPr>
      <t xml:space="preserve">Output Indicator R2.1.1
</t>
    </r>
    <r>
      <rPr>
        <u/>
        <sz val="11"/>
        <rFont val="Lato"/>
        <family val="2"/>
      </rPr>
      <t>Example</t>
    </r>
    <r>
      <rPr>
        <sz val="11"/>
        <rFont val="Lato"/>
        <family val="2"/>
      </rPr>
      <t xml:space="preserve">: x% of HH that are benefited from support to saving, asset accumulation and income </t>
    </r>
  </si>
  <si>
    <r>
      <rPr>
        <b/>
        <sz val="11"/>
        <rFont val="Lato"/>
        <family val="2"/>
      </rPr>
      <t xml:space="preserve">Output Indicator R2.1.2
</t>
    </r>
    <r>
      <rPr>
        <u/>
        <sz val="11"/>
        <rFont val="Lato"/>
        <family val="2"/>
      </rPr>
      <t>Example</t>
    </r>
    <r>
      <rPr>
        <sz val="11"/>
        <rFont val="Lato"/>
        <family val="2"/>
      </rPr>
      <t>: x% of HH that are benefited from improvement in social transfers, access to credit, safety net or micro insurance programming</t>
    </r>
  </si>
  <si>
    <r>
      <rPr>
        <b/>
        <sz val="11"/>
        <rFont val="Lato"/>
        <family val="2"/>
      </rPr>
      <t xml:space="preserve">Output Indicator </t>
    </r>
    <r>
      <rPr>
        <b/>
        <sz val="11"/>
        <color rgb="FF878787"/>
        <rFont val="Lato"/>
        <family val="2"/>
      </rPr>
      <t>R2.1.2.a</t>
    </r>
    <r>
      <rPr>
        <b/>
        <sz val="11"/>
        <rFont val="Lato"/>
        <family val="2"/>
      </rPr>
      <t xml:space="preserve">
</t>
    </r>
    <r>
      <rPr>
        <u/>
        <sz val="11"/>
        <rFont val="Lato"/>
        <family val="2"/>
      </rPr>
      <t>Example</t>
    </r>
    <r>
      <rPr>
        <sz val="11"/>
        <rFont val="Lato"/>
        <family val="2"/>
      </rPr>
      <t xml:space="preserve">: x% of </t>
    </r>
    <r>
      <rPr>
        <b/>
        <sz val="11"/>
        <rFont val="Lato"/>
        <family val="2"/>
      </rPr>
      <t>men</t>
    </r>
    <r>
      <rPr>
        <sz val="11"/>
        <rFont val="Lato"/>
        <family val="2"/>
      </rPr>
      <t xml:space="preserve"> that are benefited from improvement in social transfers, access to credit, safety net or micro insurance programming</t>
    </r>
  </si>
  <si>
    <r>
      <rPr>
        <b/>
        <sz val="11"/>
        <rFont val="Lato"/>
        <family val="2"/>
      </rPr>
      <t xml:space="preserve">Output Indicator </t>
    </r>
    <r>
      <rPr>
        <b/>
        <sz val="11"/>
        <color rgb="FF878787"/>
        <rFont val="Lato"/>
        <family val="2"/>
      </rPr>
      <t>R2.1.2.b</t>
    </r>
    <r>
      <rPr>
        <b/>
        <sz val="11"/>
        <rFont val="Lato"/>
        <family val="2"/>
      </rPr>
      <t xml:space="preserve">
</t>
    </r>
    <r>
      <rPr>
        <u/>
        <sz val="11"/>
        <rFont val="Lato"/>
        <family val="2"/>
      </rPr>
      <t>Example</t>
    </r>
    <r>
      <rPr>
        <sz val="11"/>
        <rFont val="Lato"/>
        <family val="2"/>
      </rPr>
      <t xml:space="preserve">: x% of </t>
    </r>
    <r>
      <rPr>
        <b/>
        <sz val="11"/>
        <rFont val="Lato"/>
        <family val="2"/>
      </rPr>
      <t>women</t>
    </r>
    <r>
      <rPr>
        <sz val="11"/>
        <rFont val="Lato"/>
        <family val="2"/>
      </rPr>
      <t xml:space="preserve"> that are benefited from improvement in social transfers, access to credit, safety net or micro insurance programming</t>
    </r>
  </si>
  <si>
    <r>
      <rPr>
        <b/>
        <sz val="11"/>
        <rFont val="Lato"/>
        <family val="2"/>
      </rPr>
      <t>Output Indicator R2.1.3</t>
    </r>
    <r>
      <rPr>
        <sz val="11"/>
        <rFont val="Lato"/>
        <family val="2"/>
      </rPr>
      <t xml:space="preserve">
</t>
    </r>
  </si>
  <si>
    <t xml:space="preserve">Output R2.2 : 
</t>
  </si>
  <si>
    <t xml:space="preserve">Output Indicator R2.2.1
</t>
  </si>
  <si>
    <t xml:space="preserve">Output Indicator R2.2.2
</t>
  </si>
  <si>
    <t xml:space="preserve">Output Indicator R2.2.3
</t>
  </si>
  <si>
    <t xml:space="preserve">Output R2.3 : 
</t>
  </si>
  <si>
    <r>
      <t xml:space="preserve">Outcome 3: 
</t>
    </r>
    <r>
      <rPr>
        <sz val="11"/>
        <color indexed="8"/>
        <rFont val="Lato"/>
        <family val="2"/>
      </rPr>
      <t>Change in community or system adaptation and transformation capacity</t>
    </r>
    <r>
      <rPr>
        <b/>
        <sz val="11"/>
        <color indexed="8"/>
        <rFont val="Lato"/>
        <family val="2"/>
      </rPr>
      <t xml:space="preserve">
</t>
    </r>
  </si>
  <si>
    <r>
      <t xml:space="preserve">Output R3.1 : </t>
    </r>
    <r>
      <rPr>
        <sz val="11"/>
        <color indexed="8"/>
        <rFont val="Lato"/>
        <family val="2"/>
      </rPr>
      <t xml:space="preserve">
Improvement in community or system adaptation and transformation capacity</t>
    </r>
    <r>
      <rPr>
        <b/>
        <sz val="11"/>
        <color indexed="8"/>
        <rFont val="Lato"/>
        <family val="2"/>
      </rPr>
      <t xml:space="preserve">
</t>
    </r>
  </si>
  <si>
    <r>
      <rPr>
        <b/>
        <sz val="11"/>
        <rFont val="Lato"/>
        <family val="2"/>
      </rPr>
      <t xml:space="preserve">Output Indicator R3.1.1
</t>
    </r>
    <r>
      <rPr>
        <u/>
        <sz val="11"/>
        <rFont val="Lato"/>
        <family val="2"/>
      </rPr>
      <t>Example</t>
    </r>
    <r>
      <rPr>
        <sz val="11"/>
        <rFont val="Lato"/>
        <family val="2"/>
      </rPr>
      <t>: x% of HH that have access to hazard resistant production items (seeds, irrigation technology…)</t>
    </r>
  </si>
  <si>
    <r>
      <rPr>
        <b/>
        <sz val="11"/>
        <rFont val="Lato"/>
        <family val="2"/>
      </rPr>
      <t>Output Indicator R3.1.2</t>
    </r>
    <r>
      <rPr>
        <sz val="11"/>
        <rFont val="Lato"/>
        <family val="2"/>
      </rPr>
      <t xml:space="preserve">
</t>
    </r>
    <r>
      <rPr>
        <u/>
        <sz val="11"/>
        <rFont val="Lato"/>
        <family val="2"/>
      </rPr>
      <t>Example</t>
    </r>
    <r>
      <rPr>
        <sz val="11"/>
        <rFont val="Lato"/>
        <family val="2"/>
      </rPr>
      <t>: x% of HH that are relying on diversified livelihood and improved access to positive coping mechanism</t>
    </r>
  </si>
  <si>
    <r>
      <rPr>
        <b/>
        <sz val="11"/>
        <rFont val="Lato"/>
        <family val="2"/>
      </rPr>
      <t>Output Indicator R3.1.3</t>
    </r>
    <r>
      <rPr>
        <sz val="11"/>
        <rFont val="Lato"/>
        <family val="2"/>
      </rPr>
      <t xml:space="preserve">
</t>
    </r>
    <r>
      <rPr>
        <u/>
        <sz val="11"/>
        <rFont val="Lato"/>
        <family val="2"/>
      </rPr>
      <t>Example</t>
    </r>
    <r>
      <rPr>
        <sz val="11"/>
        <rFont val="Lato"/>
        <family val="2"/>
      </rPr>
      <t xml:space="preserve">: x% of targeted communities that are engaged into good management of natural resources  </t>
    </r>
  </si>
  <si>
    <t xml:space="preserve">Output R3.2 : 
</t>
  </si>
  <si>
    <t xml:space="preserve">Output R3.3 : 
</t>
  </si>
  <si>
    <r>
      <t xml:space="preserve">Outcome 4: </t>
    </r>
    <r>
      <rPr>
        <sz val="11"/>
        <color indexed="8"/>
        <rFont val="Lato"/>
        <family val="2"/>
      </rPr>
      <t xml:space="preserve">
Change in local institution risk management capacities</t>
    </r>
  </si>
  <si>
    <t>Outcome indicator 4</t>
  </si>
  <si>
    <r>
      <t xml:space="preserve">Output R4.1 : </t>
    </r>
    <r>
      <rPr>
        <sz val="11"/>
        <color indexed="8"/>
        <rFont val="Lato"/>
        <family val="2"/>
      </rPr>
      <t xml:space="preserve">
Improvement in local institution risk management governance capacities</t>
    </r>
    <r>
      <rPr>
        <b/>
        <sz val="11"/>
        <color indexed="8"/>
        <rFont val="Lato"/>
        <family val="2"/>
      </rPr>
      <t xml:space="preserve">
</t>
    </r>
  </si>
  <si>
    <r>
      <rPr>
        <b/>
        <sz val="11"/>
        <rFont val="Lato"/>
        <family val="2"/>
      </rPr>
      <t xml:space="preserve">Output Indicator R4.1.1
</t>
    </r>
    <r>
      <rPr>
        <u/>
        <sz val="11"/>
        <rFont val="Lato"/>
        <family val="2"/>
      </rPr>
      <t>Example</t>
    </r>
    <r>
      <rPr>
        <sz val="11"/>
        <rFont val="Lato"/>
        <family val="2"/>
      </rPr>
      <t>: x% of targeted local institutions and stakeholders representatives that are actively engaged into the elaboration and/or revision of DRM analysis, plans, budgets and policies</t>
    </r>
  </si>
  <si>
    <r>
      <rPr>
        <b/>
        <sz val="11"/>
        <rFont val="Lato"/>
        <family val="2"/>
      </rPr>
      <t>Output Indicator R4.1.2</t>
    </r>
    <r>
      <rPr>
        <sz val="11"/>
        <rFont val="Lato"/>
        <family val="2"/>
      </rPr>
      <t xml:space="preserve">
</t>
    </r>
    <r>
      <rPr>
        <u/>
        <sz val="11"/>
        <rFont val="Lato"/>
        <family val="2"/>
      </rPr>
      <t>Example</t>
    </r>
    <r>
      <rPr>
        <sz val="11"/>
        <rFont val="Lato"/>
        <family val="2"/>
      </rPr>
      <t>: x% of communities actively involved into the elaboration and/or revision of DRM analysis, plans, budgets and policies at sub-national levels</t>
    </r>
  </si>
  <si>
    <r>
      <rPr>
        <b/>
        <sz val="11"/>
        <rFont val="Lato"/>
        <family val="2"/>
      </rPr>
      <t>Output Indicator R4.1.3</t>
    </r>
    <r>
      <rPr>
        <sz val="11"/>
        <rFont val="Lato"/>
        <family val="2"/>
      </rPr>
      <t xml:space="preserve">
</t>
    </r>
    <r>
      <rPr>
        <u/>
        <sz val="11"/>
        <rFont val="Lato"/>
        <family val="2"/>
      </rPr>
      <t>Example</t>
    </r>
    <r>
      <rPr>
        <sz val="11"/>
        <rFont val="Lato"/>
        <family val="2"/>
      </rPr>
      <t xml:space="preserve">: </t>
    </r>
  </si>
  <si>
    <t xml:space="preserve">Output R4.2 : 
</t>
  </si>
  <si>
    <t xml:space="preserve">Output Indicator R4.2.1
</t>
  </si>
  <si>
    <t xml:space="preserve">Output Indicator R4.2.2
</t>
  </si>
  <si>
    <t xml:space="preserve">Output Indicator R4.2.3
</t>
  </si>
  <si>
    <t xml:space="preserve">Output R4.3 : 
</t>
  </si>
  <si>
    <t xml:space="preserve">Output Indicator R4.3.1
</t>
  </si>
  <si>
    <t xml:space="preserve">Output Indicator R4.3.2
</t>
  </si>
  <si>
    <t xml:space="preserve">Output Indicator R4.3.3
</t>
  </si>
  <si>
    <t>Improvement of resilience</t>
  </si>
  <si>
    <t>% people whose resilience has been improved across all capitals (according to the PRAM methodology).</t>
  </si>
  <si>
    <t>Monitored Value: # of individuals (female) whose resilience has been improved across all capitals (according to the PRAM methodology).</t>
  </si>
  <si>
    <t>Monitored Value: # of individuals (men) whose resilience has been improved across all capitals (according to the PRAM methodology).</t>
  </si>
  <si>
    <t>Target Population: # of individuals (female) supported</t>
  </si>
  <si>
    <t>Target Population: # of individuals (male) supported</t>
  </si>
  <si>
    <t>Early Warning System</t>
  </si>
  <si>
    <t># people covered by a functional early warning system</t>
  </si>
  <si>
    <t>among which # of women covered by a functional Early Warning System (EWS)</t>
  </si>
  <si>
    <t>among which # of men covered by a functional Early Warning System (EWS)</t>
  </si>
  <si>
    <t>ISP3 - OUTPUTS SUB-INDICATORS (# of reach)</t>
  </si>
  <si>
    <t>Total transfers (in # of individuals) made to recipients for the DRR sector</t>
  </si>
  <si>
    <r>
      <rPr>
        <b/>
        <sz val="11"/>
        <rFont val="Lato"/>
        <family val="2"/>
      </rPr>
      <t>Total transfers (in # of individuals) made to recipients for the DRR sector</t>
    </r>
    <r>
      <rPr>
        <sz val="11"/>
        <rFont val="Lato"/>
        <family val="2"/>
      </rPr>
      <t xml:space="preserve">
</t>
    </r>
    <r>
      <rPr>
        <i/>
        <sz val="11"/>
        <rFont val="Lato"/>
        <family val="2"/>
      </rPr>
      <t xml:space="preserve">All delivery modes included </t>
    </r>
  </si>
  <si>
    <t>Reach involved in health system preparedness/surge</t>
  </si>
  <si>
    <r>
      <t xml:space="preserve">Reach involved in health system preparedness/surge - </t>
    </r>
    <r>
      <rPr>
        <b/>
        <sz val="11"/>
        <rFont val="Lato"/>
        <family val="2"/>
      </rPr>
      <t>Female</t>
    </r>
    <r>
      <rPr>
        <sz val="11"/>
        <rFont val="Lato"/>
        <family val="2"/>
      </rPr>
      <t xml:space="preserve"> - </t>
    </r>
    <r>
      <rPr>
        <i/>
        <sz val="11"/>
        <rFont val="Lato"/>
        <family val="2"/>
      </rPr>
      <t>in sevice delivery</t>
    </r>
  </si>
  <si>
    <r>
      <t xml:space="preserve">Reach involved in health system preparedness/surge - </t>
    </r>
    <r>
      <rPr>
        <b/>
        <sz val="11"/>
        <rFont val="Lato"/>
        <family val="2"/>
      </rPr>
      <t>Male</t>
    </r>
    <r>
      <rPr>
        <sz val="11"/>
        <rFont val="Lato"/>
        <family val="2"/>
      </rPr>
      <t xml:space="preserve"> - </t>
    </r>
    <r>
      <rPr>
        <i/>
        <sz val="11"/>
        <rFont val="Lato"/>
        <family val="2"/>
      </rPr>
      <t>in sevice delivery</t>
    </r>
  </si>
  <si>
    <t>Reach covered by DRM specific activities</t>
  </si>
  <si>
    <r>
      <t xml:space="preserve">Reach covered by DRM specific activities - </t>
    </r>
    <r>
      <rPr>
        <b/>
        <sz val="11"/>
        <rFont val="Lato"/>
        <family val="2"/>
      </rPr>
      <t>Female</t>
    </r>
    <r>
      <rPr>
        <sz val="11"/>
        <rFont val="Lato"/>
        <family val="2"/>
      </rPr>
      <t xml:space="preserve">  -</t>
    </r>
    <r>
      <rPr>
        <i/>
        <sz val="11"/>
        <rFont val="Lato"/>
        <family val="2"/>
      </rPr>
      <t xml:space="preserve"> in sevice delivery</t>
    </r>
  </si>
  <si>
    <r>
      <t xml:space="preserve">Reach covered by DRM specific activities - </t>
    </r>
    <r>
      <rPr>
        <b/>
        <sz val="11"/>
        <rFont val="Lato"/>
        <family val="2"/>
      </rPr>
      <t>Male</t>
    </r>
    <r>
      <rPr>
        <sz val="11"/>
        <rFont val="Lato"/>
        <family val="2"/>
      </rPr>
      <t xml:space="preserve">  -</t>
    </r>
    <r>
      <rPr>
        <i/>
        <sz val="11"/>
        <rFont val="Lato"/>
        <family val="2"/>
      </rPr>
      <t xml:space="preserve"> in sevice delivery</t>
    </r>
  </si>
  <si>
    <t>ACTIVITY PROGRESS REPORT
ADVOCACY</t>
  </si>
  <si>
    <r>
      <t xml:space="preserve">Impact: 
</t>
    </r>
    <r>
      <rPr>
        <u/>
        <sz val="11"/>
        <color indexed="8"/>
        <rFont val="Lato"/>
        <family val="2"/>
      </rPr>
      <t>Example:</t>
    </r>
    <r>
      <rPr>
        <sz val="11"/>
        <color indexed="8"/>
        <rFont val="Lato"/>
        <family val="2"/>
      </rPr>
      <t xml:space="preserve"> </t>
    </r>
  </si>
  <si>
    <r>
      <rPr>
        <b/>
        <sz val="11"/>
        <rFont val="Lato"/>
        <family val="2"/>
      </rPr>
      <t>Impact Indicator</t>
    </r>
    <r>
      <rPr>
        <sz val="11"/>
        <rFont val="Lato"/>
        <family val="2"/>
      </rPr>
      <t xml:space="preserve">
</t>
    </r>
    <r>
      <rPr>
        <u/>
        <sz val="11"/>
        <rFont val="Lato"/>
        <family val="2"/>
      </rPr>
      <t>Example:</t>
    </r>
    <r>
      <rPr>
        <sz val="11"/>
        <rFont val="Lato"/>
        <family val="2"/>
      </rPr>
      <t xml:space="preserve"> </t>
    </r>
  </si>
  <si>
    <r>
      <t xml:space="preserve">Outcome 1: 
</t>
    </r>
    <r>
      <rPr>
        <u/>
        <sz val="11"/>
        <color indexed="8"/>
        <rFont val="Lato"/>
        <family val="2"/>
      </rPr>
      <t>Example:</t>
    </r>
    <r>
      <rPr>
        <sz val="11"/>
        <color indexed="8"/>
        <rFont val="Lato"/>
        <family val="2"/>
      </rPr>
      <t xml:space="preserve"> </t>
    </r>
  </si>
  <si>
    <r>
      <rPr>
        <b/>
        <sz val="11"/>
        <color rgb="FF006CB6"/>
        <rFont val="Lato"/>
        <family val="2"/>
      </rPr>
      <t>Outcome indicator 1</t>
    </r>
    <r>
      <rPr>
        <b/>
        <sz val="11"/>
        <rFont val="Lato"/>
        <family val="2"/>
      </rPr>
      <t xml:space="preserve">
</t>
    </r>
    <r>
      <rPr>
        <b/>
        <sz val="11"/>
        <rFont val="Lato"/>
        <family val="2"/>
      </rPr>
      <t xml:space="preserve">
</t>
    </r>
  </si>
  <si>
    <r>
      <t xml:space="preserve">Output R1.1 : 
</t>
    </r>
    <r>
      <rPr>
        <sz val="11"/>
        <rFont val="Lato"/>
        <family val="2"/>
      </rPr>
      <t xml:space="preserve">
</t>
    </r>
    <r>
      <rPr>
        <b/>
        <sz val="11"/>
        <color indexed="8"/>
        <rFont val="Lato"/>
        <family val="2"/>
      </rPr>
      <t xml:space="preserve">
</t>
    </r>
  </si>
  <si>
    <r>
      <rPr>
        <b/>
        <sz val="11"/>
        <rFont val="Lato"/>
        <family val="2"/>
      </rPr>
      <t>Output Indicator R1.1.1</t>
    </r>
    <r>
      <rPr>
        <sz val="11"/>
        <rFont val="Lato"/>
        <family val="2"/>
      </rPr>
      <t xml:space="preserve">
</t>
    </r>
  </si>
  <si>
    <r>
      <rPr>
        <b/>
        <sz val="11"/>
        <rFont val="Lato"/>
        <family val="2"/>
      </rPr>
      <t>Output Indicator R1.1.2</t>
    </r>
    <r>
      <rPr>
        <sz val="11"/>
        <rFont val="Lato"/>
        <family val="2"/>
      </rPr>
      <t xml:space="preserve">
</t>
    </r>
  </si>
  <si>
    <t xml:space="preserve">Outcome 2: 
</t>
  </si>
  <si>
    <r>
      <rPr>
        <b/>
        <sz val="11"/>
        <rFont val="Lato"/>
        <family val="2"/>
      </rPr>
      <t>Output Indicator R2.2.1</t>
    </r>
    <r>
      <rPr>
        <sz val="11"/>
        <rFont val="Lato"/>
        <family val="2"/>
      </rPr>
      <t xml:space="preserve">
</t>
    </r>
  </si>
  <si>
    <r>
      <rPr>
        <b/>
        <sz val="11"/>
        <rFont val="Lato"/>
        <family val="2"/>
      </rPr>
      <t>Output Indicator R2.2.2</t>
    </r>
    <r>
      <rPr>
        <sz val="11"/>
        <rFont val="Lato"/>
        <family val="2"/>
      </rPr>
      <t xml:space="preserve">
</t>
    </r>
  </si>
  <si>
    <r>
      <rPr>
        <b/>
        <sz val="11"/>
        <rFont val="Lato"/>
        <family val="2"/>
      </rPr>
      <t>Output Indicator R2.2.3</t>
    </r>
    <r>
      <rPr>
        <sz val="11"/>
        <rFont val="Lato"/>
        <family val="2"/>
      </rPr>
      <t xml:space="preserve">
</t>
    </r>
  </si>
  <si>
    <r>
      <rPr>
        <b/>
        <sz val="11"/>
        <color rgb="FF006CB6"/>
        <rFont val="Lato"/>
        <family val="2"/>
      </rPr>
      <t>Outcome indicator 3</t>
    </r>
    <r>
      <rPr>
        <b/>
        <sz val="11"/>
        <rFont val="Lato"/>
        <family val="2"/>
      </rPr>
      <t xml:space="preserve">
</t>
    </r>
  </si>
  <si>
    <t>Learning and research products that are shared in global, national regional and local platforms (local platforms include communities)</t>
  </si>
  <si>
    <t>Monitored Value: # of learning and research products that are shared in global, national regional and local platforms (local platforms include communities)</t>
  </si>
  <si>
    <t>Target population: # of Learning and research products produced</t>
  </si>
  <si>
    <t>Learning and research products (peer reviewed and non-peer-reviewed) produced by Action Against Hunger that have led to change in practice or policy</t>
  </si>
  <si>
    <t>Monitored Value: # of learning and research products (peer reviewed and non-peer-reviewed) produced by ACF that have led to change in practice or policy</t>
  </si>
  <si>
    <t>Target population: # of Learning and research products (peer reviewed and non-peer-reviewed) produced by Action Against Hunger</t>
  </si>
  <si>
    <t>Knowledge products(databases, IT infrastructures, data visualizations, prediction-based modelling, etc.), with the potential to influence sector practice developed (number of products)</t>
  </si>
  <si>
    <t>Monitored Value: # of knowledge products (databases, IT infrastructures, data visualizations, prediction-based modelling, etc.), with the potential to influence sector practice developed</t>
  </si>
  <si>
    <t>Target population: # of Knowledge products (databases, IT infrastructures, data visualizations, prediction-based modelling, etc)</t>
  </si>
  <si>
    <t># of outcomes (policies, statements, commitments) from formal and informal consultative processes focusing on nutrition security that include priorities /recommendations from women-led CSOs</t>
  </si>
  <si>
    <t>Monitored Value: # of outcomes (policies, statements, commitments) from formal and informal consultative processes focusing on nutrition security that include priorities/recommendations from women-led CSOs</t>
  </si>
  <si>
    <t>Target population: # of outcomes (policies, statements, commitments) from formal and informal consultative processes focusing on nutrition security</t>
  </si>
  <si>
    <t># of key position and research papers produced by Action Against Hunger related to universal access to essential services and protection of people from hunger and malnutrition</t>
  </si>
  <si>
    <t>Monitored Value: # of key position and research papers produced by ACF related to universal access to essential services and protection of people from hunger and malnutrition</t>
  </si>
  <si>
    <t>Target population: # of key position and research papers produced by Action Against Hunger</t>
  </si>
  <si>
    <t>% People of all genders who have meaningfully participated in formal (government-led) and informal (civil society-led, private sector-led) decision-making spaces in the intervention area (inclusiveness and the responsiveness of decision-making)</t>
  </si>
  <si>
    <t>% people of all genders who have meaningfully participated in formal (government-led) OR informal (civil society-led, private sector-led) decision-making spaces in the intervention area (SDG 16.7.2)</t>
  </si>
  <si>
    <t>Monitored Value: # of men who have meaningfully participated in formal (government-led) OR informal (civil society-led, private sector-led) decision-making spaces in the intervention area</t>
  </si>
  <si>
    <t>Monitored Value: # of women who have meaningfully participated in formal (government-led) OR informal (civil society-led, private sector-led) decision-making spaces in the intervention area</t>
  </si>
  <si>
    <t>Target population: # of men targeted in the intervention area</t>
  </si>
  <si>
    <t>Target population: # of women targeted in the intervention area</t>
  </si>
  <si>
    <t>% of individuals (disaggregated by sex, age and diversity) reporting that humanitarian assistance is delivered in a safe, accessible, accountable and participatory manner</t>
  </si>
  <si>
    <t>Monitored Value: # of men reporting that humanitarian assistance is delivered in a safe, accessible, accountable and participatory manner</t>
  </si>
  <si>
    <t>Monitored Value: # of women reporting that humanitarian assistance is delivered in a safe, accessible, accountable and participatory manner</t>
  </si>
  <si>
    <t>% of advocacy initiatives led by national partners (CSOs, local authorities) and supported by Action Against Hunger, for, by or with their membership/ constituency involved</t>
  </si>
  <si>
    <t>Monitored Value: # of advocacy initiatives led by national partners (CSOs, local authorities) and supported by ACF, for, by or with their membership/constituency involved</t>
  </si>
  <si>
    <t>Target population: # of advocacy initiatives supported by Action Against Hunger</t>
  </si>
  <si>
    <t>ISP3 OUTPUT SUB-INDICATORS</t>
  </si>
  <si>
    <t>Number of individuals with access to services and assistance directly linked to national (Government or NSAGs) measures within social protection programme</t>
  </si>
  <si>
    <t># of men with access to services and assistance directly linked to national (Government or NSAGs) measures within social protection programme</t>
  </si>
  <si>
    <t># of women with access to services and assistance directly linked to national (Government or NSAGs) measures within social protection programme</t>
  </si>
  <si>
    <t>Campaigns</t>
  </si>
  <si>
    <t># of campaign oriented to sensitize and provoke decision / change</t>
  </si>
  <si>
    <t>Position papers &amp; reports</t>
  </si>
  <si>
    <t># of positioning papers &amp; reports produced</t>
  </si>
  <si>
    <t>Women-led organizations partnerships</t>
  </si>
  <si>
    <t># of women-led organizations that ACF partners with on campaigns and advocacy initiatives to end hunger</t>
  </si>
  <si>
    <t>workshops / meetings</t>
  </si>
  <si>
    <t># of workshops / meetings held through bilateral actions</t>
  </si>
  <si>
    <t># of workshops / meetings held through collective actions</t>
  </si>
  <si>
    <t># of Male under 18 (Boys)</t>
  </si>
  <si>
    <t># of Male Above 18 (Men)</t>
  </si>
  <si>
    <t># of Female above 18 (Women)</t>
  </si>
  <si>
    <t># of U5 boys</t>
  </si>
  <si>
    <t># of U5 girls</t>
  </si>
  <si>
    <r>
      <rPr>
        <b/>
        <sz val="11"/>
        <color rgb="FFFF0000"/>
        <rFont val="Lato"/>
        <family val="2"/>
      </rPr>
      <t xml:space="preserve">R2 </t>
    </r>
    <r>
      <rPr>
        <b/>
        <sz val="11"/>
        <rFont val="Lato"/>
        <family val="2"/>
      </rPr>
      <t>Activity 2.2.0:
Provision of MHPSS services at CHC</t>
    </r>
  </si>
  <si>
    <r>
      <rPr>
        <b/>
        <sz val="11"/>
        <color rgb="FFFF0000"/>
        <rFont val="Lato"/>
        <family val="2"/>
      </rPr>
      <t>R2</t>
    </r>
    <r>
      <rPr>
        <b/>
        <sz val="11"/>
        <rFont val="Lato"/>
        <family val="2"/>
      </rPr>
      <t xml:space="preserve"> Activity R2.2.1: 
Train psychologists and/or parapsychosocial counselors </t>
    </r>
  </si>
  <si>
    <t xml:space="preserve">Output indicator R2:
# of psychosocially distressed beneficiaries have access to and benefitted from MHPSS services to better cope with their problems through stress management skills, pre-post natal depression management, problem-solving
skills and parenting skills.
</t>
  </si>
  <si>
    <t>Strengthening the resilience of the population and their communities through capacity building in disaster risk management (DRM), psychosocial health and care (MHPSS), and building resilient WASH baseline infrastructure in Ghor, Daikundi, Badakhshan</t>
  </si>
  <si>
    <r>
      <rPr>
        <b/>
        <sz val="11"/>
        <color rgb="FFFF0000"/>
        <rFont val="Lato"/>
        <family val="2"/>
      </rPr>
      <t>R2</t>
    </r>
    <r>
      <rPr>
        <b/>
        <sz val="11"/>
        <rFont val="Lato"/>
        <family val="2"/>
      </rPr>
      <t xml:space="preserve"> Activity 2.2.5:
# of beneficiaries benefitted from care practices stimulation sessions</t>
    </r>
  </si>
  <si>
    <r>
      <rPr>
        <b/>
        <sz val="11"/>
        <color rgb="FFFF0000"/>
        <rFont val="Lato"/>
        <family val="2"/>
      </rPr>
      <t>R2</t>
    </r>
    <r>
      <rPr>
        <b/>
        <sz val="11"/>
        <rFont val="Lato"/>
        <family val="2"/>
      </rPr>
      <t xml:space="preserve"> Activity R2.2.4: 
</t>
    </r>
    <r>
      <rPr>
        <sz val="11"/>
        <rFont val="Lato"/>
        <family val="2"/>
      </rPr>
      <t xml:space="preserve">MHPSS Awareness and Psychoeducation </t>
    </r>
  </si>
  <si>
    <r>
      <rPr>
        <b/>
        <sz val="11"/>
        <color rgb="FFFF0000"/>
        <rFont val="Lato"/>
        <family val="2"/>
      </rPr>
      <t xml:space="preserve">R2 </t>
    </r>
    <r>
      <rPr>
        <b/>
        <sz val="11"/>
        <rFont val="Lato"/>
        <family val="2"/>
      </rPr>
      <t xml:space="preserve">Activity 2.2.2: 
Provide psychosocial counseling </t>
    </r>
  </si>
  <si>
    <r>
      <rPr>
        <b/>
        <sz val="11"/>
        <color rgb="FFFF0000"/>
        <rFont val="Lato"/>
        <family val="2"/>
      </rPr>
      <t>R2</t>
    </r>
    <r>
      <rPr>
        <b/>
        <sz val="11"/>
        <rFont val="Lato"/>
        <family val="2"/>
      </rPr>
      <t xml:space="preserve"> Activity R2.2.2: 
</t>
    </r>
    <r>
      <rPr>
        <sz val="11"/>
        <color theme="0" tint="-0.499984740745262"/>
        <rFont val="Lato"/>
        <family val="2"/>
      </rPr>
      <t>Number of beneficiaries who have shown improvement in  wellbeing at their discharge through comparison of WHO-5 baseline and endline scores</t>
    </r>
  </si>
  <si>
    <t>Badakhshan, Kabul and Ghor</t>
  </si>
  <si>
    <r>
      <t xml:space="preserve">Impact and Outcome Objectives (LFA) / </t>
    </r>
    <r>
      <rPr>
        <b/>
        <sz val="11"/>
        <color rgb="FFFF0000"/>
        <rFont val="Lato"/>
        <family val="2"/>
      </rPr>
      <t>GOAL</t>
    </r>
  </si>
  <si>
    <t xml:space="preserve"># of one to one MHPSS session </t>
  </si>
  <si>
    <t xml:space="preserve"># of group MHPSS session </t>
  </si>
  <si>
    <t>Output indicator R1:
Supporting capacity strengthening of in-country Mental Health Psychosocial Support (MHPSS) stakeholders in quality provision of services, identification and referral of clients with severe MHPSS distress to seek specialised care and provision of services via MHPSS corners at health facility</t>
  </si>
  <si>
    <r>
      <rPr>
        <b/>
        <sz val="11"/>
        <color rgb="FFFF0000"/>
        <rFont val="Lato"/>
        <family val="2"/>
      </rPr>
      <t>R1</t>
    </r>
    <r>
      <rPr>
        <b/>
        <sz val="11"/>
        <rFont val="Lato"/>
        <family val="2"/>
      </rPr>
      <t xml:space="preserve"> Activity 1.1.1:</t>
    </r>
    <r>
      <rPr>
        <sz val="11"/>
        <rFont val="Lato"/>
        <family val="2"/>
      </rPr>
      <t xml:space="preserve">
Number of individuals receiving capacity building trainings on MHPSS topics</t>
    </r>
  </si>
  <si>
    <t>Non-contractual indicators</t>
  </si>
  <si>
    <r>
      <rPr>
        <b/>
        <sz val="11"/>
        <color rgb="FFFF0000"/>
        <rFont val="Lato"/>
        <family val="2"/>
      </rPr>
      <t>R3</t>
    </r>
    <r>
      <rPr>
        <b/>
        <sz val="11"/>
        <rFont val="Lato"/>
        <family val="2"/>
      </rPr>
      <t xml:space="preserve"> Activity 3.1.0:
</t>
    </r>
    <r>
      <rPr>
        <b/>
        <sz val="11"/>
        <color theme="0" tint="-0.34998626667073579"/>
        <rFont val="Lato"/>
        <family val="2"/>
      </rPr>
      <t>#  of people participated in community dialogue sessions</t>
    </r>
  </si>
  <si>
    <r>
      <rPr>
        <b/>
        <sz val="11"/>
        <color rgb="FFFF0000"/>
        <rFont val="Lato"/>
        <family val="2"/>
      </rPr>
      <t>R1</t>
    </r>
    <r>
      <rPr>
        <b/>
        <sz val="11"/>
        <rFont val="Lato"/>
        <family val="2"/>
      </rPr>
      <t xml:space="preserve"> Activity 1.1.2:</t>
    </r>
    <r>
      <rPr>
        <sz val="11"/>
        <rFont val="Lato"/>
        <family val="2"/>
      </rPr>
      <t xml:space="preserve">
Building PSS capacity in communities at risk of natural disasters in psychological first aid (PFA).</t>
    </r>
  </si>
  <si>
    <r>
      <rPr>
        <b/>
        <sz val="11"/>
        <color rgb="FFFF0000"/>
        <rFont val="Lato"/>
        <family val="2"/>
      </rPr>
      <t>R1</t>
    </r>
    <r>
      <rPr>
        <b/>
        <sz val="11"/>
        <rFont val="Lato"/>
        <family val="2"/>
      </rPr>
      <t xml:space="preserve"> Activity 1.1.3:
Number of beneficiaries who have been referred for seeking additional/professional service</t>
    </r>
  </si>
  <si>
    <t>Reach of MHPSS, Care Practices  trainings and supervisions - service delivery</t>
  </si>
  <si>
    <t>Reach of MHPSS, Care Practices capacity building activities</t>
  </si>
  <si>
    <r>
      <rPr>
        <b/>
        <sz val="11"/>
        <color rgb="FFFF0000"/>
        <rFont val="Lato"/>
        <family val="2"/>
      </rPr>
      <t>R3</t>
    </r>
    <r>
      <rPr>
        <b/>
        <sz val="11"/>
        <color rgb="FF808080"/>
        <rFont val="Lato"/>
        <family val="2"/>
      </rPr>
      <t xml:space="preserve"> Activity 3.2.0:
</t>
    </r>
    <r>
      <rPr>
        <sz val="11"/>
        <color rgb="FF808080"/>
        <rFont val="Lato"/>
        <family val="2"/>
      </rPr>
      <t>Number of Interns hired and trained</t>
    </r>
  </si>
  <si>
    <r>
      <t>Among which</t>
    </r>
    <r>
      <rPr>
        <b/>
        <sz val="11"/>
        <rFont val="Lato"/>
        <family val="2"/>
      </rPr>
      <t xml:space="preserve"> Interns - </t>
    </r>
    <r>
      <rPr>
        <sz val="11"/>
        <rFont val="Lato"/>
        <family val="2"/>
      </rPr>
      <t>Female Adult</t>
    </r>
  </si>
  <si>
    <r>
      <t xml:space="preserve">Among which </t>
    </r>
    <r>
      <rPr>
        <b/>
        <sz val="11"/>
        <rFont val="Lato"/>
        <family val="2"/>
      </rPr>
      <t xml:space="preserve">Interns - </t>
    </r>
    <r>
      <rPr>
        <sz val="11"/>
        <rFont val="Lato"/>
        <family val="2"/>
      </rPr>
      <t>Male Adult</t>
    </r>
  </si>
  <si>
    <r>
      <t xml:space="preserve">Among which </t>
    </r>
    <r>
      <rPr>
        <b/>
        <sz val="11"/>
        <rFont val="Lato"/>
        <family val="2"/>
      </rPr>
      <t xml:space="preserve">aid worker MHPSS Sector - </t>
    </r>
    <r>
      <rPr>
        <sz val="11"/>
        <rFont val="Lato"/>
        <family val="2"/>
      </rPr>
      <t xml:space="preserve">Female Adult </t>
    </r>
  </si>
  <si>
    <r>
      <t xml:space="preserve">Among which </t>
    </r>
    <r>
      <rPr>
        <b/>
        <sz val="11"/>
        <rFont val="Lato"/>
        <family val="2"/>
      </rPr>
      <t xml:space="preserve">aid worker MHPSS Sector  </t>
    </r>
    <r>
      <rPr>
        <sz val="11"/>
        <rFont val="Lato"/>
        <family val="2"/>
      </rPr>
      <t xml:space="preserve">- Male Adult </t>
    </r>
  </si>
  <si>
    <t xml:space="preserve">Reach of Mental Health and Psychosocial Support </t>
  </si>
  <si>
    <t xml:space="preserve"> Total number of new reach each month</t>
  </si>
  <si>
    <t>Among which total female (adults, adolescents and children)</t>
  </si>
  <si>
    <t>Among which total male  (adults, adolescents and children)</t>
  </si>
  <si>
    <t>Among which total children  (&lt;5 years old)</t>
  </si>
  <si>
    <r>
      <t xml:space="preserve">Total Number of new MHPSS, Care Practices direct reach each month </t>
    </r>
    <r>
      <rPr>
        <sz val="11"/>
        <rFont val="Lato"/>
        <family val="2"/>
      </rPr>
      <t xml:space="preserve">- </t>
    </r>
    <r>
      <rPr>
        <sz val="11"/>
        <color indexed="10"/>
        <rFont val="Lato"/>
        <family val="2"/>
      </rPr>
      <t>without double counting - 
Total number  = Total female (including U5s) + Total male (including U5s)</t>
    </r>
  </si>
  <si>
    <t xml:space="preserve">
Total Number of BNFs benefiting from the consultation sessions</t>
  </si>
  <si>
    <t>&gt;95%</t>
  </si>
  <si>
    <t># of supervised psychosocial counsellors</t>
  </si>
  <si>
    <t>Accumulated score EQUIP (ENACT) Tool</t>
  </si>
  <si>
    <r>
      <rPr>
        <b/>
        <sz val="11"/>
        <color rgb="FFFF0000"/>
        <rFont val="Lato"/>
        <family val="2"/>
      </rPr>
      <t>R2</t>
    </r>
    <r>
      <rPr>
        <b/>
        <sz val="11"/>
        <rFont val="Lato"/>
        <family val="2"/>
      </rPr>
      <t xml:space="preserve"> Activity R2.2.3: 
% of psycho social workers demonstrate improved quality service provision performance</t>
    </r>
  </si>
  <si>
    <t>Project code</t>
  </si>
  <si>
    <t>F6E</t>
  </si>
  <si>
    <t>Needs Improvement</t>
  </si>
  <si>
    <t>Good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</si>
</sst>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00\ _€_-;\-* #,##0.00\ _€_-;_-* &quot;-&quot;??\ _€_-;_-@_-"/>
    <numFmt numFmtId="165" formatCode="_(* #,##0_);_(* \(#,##0\);_(* &quot;-&quot;??_);_(@_)"/>
    <numFmt numFmtId="166" formatCode="[$-40C]mmm\-yy;@"/>
    <numFmt numFmtId="167" formatCode="[$-409]mmm\-yy"/>
    <numFmt numFmtId="168" formatCode="[$-409]mmm\-yy;@"/>
    <numFmt numFmtId="169" formatCode="[$-809]mmmm\ yyyy;@"/>
    <numFmt numFmtId="170" formatCode="[$-809]mmm\-yy;@"/>
    <numFmt numFmtId="171" formatCode="[$-409]d\-mmm\-yyyy;@"/>
  </numFmts>
  <fonts count="48">
    <font>
      <sz val="10"/>
      <name val="Arial"/>
    </font>
    <font>
      <sz val="10"/>
      <name val="Arial"/>
      <family val="2"/>
    </font>
    <font>
      <sz val="10"/>
      <name val="Arial"/>
      <family val="2"/>
    </font>
    <font>
      <sz val="10"/>
      <name val="Arial"/>
      <family val="2"/>
    </font>
    <font>
      <sz val="10"/>
      <name val="Lato"/>
      <family val="2"/>
    </font>
    <font>
      <b/>
      <sz val="18"/>
      <name val="Lato"/>
      <family val="2"/>
    </font>
    <font>
      <b/>
      <sz val="16"/>
      <name val="Lato"/>
      <family val="2"/>
    </font>
    <font>
      <b/>
      <sz val="20"/>
      <name val="Lato"/>
      <family val="2"/>
    </font>
    <font>
      <b/>
      <sz val="26"/>
      <name val="Lato"/>
      <family val="2"/>
    </font>
    <font>
      <sz val="9"/>
      <name val="Lato"/>
      <family val="2"/>
    </font>
    <font>
      <b/>
      <sz val="10"/>
      <name val="Lato"/>
      <family val="2"/>
    </font>
    <font>
      <b/>
      <sz val="14"/>
      <name val="Lato"/>
      <family val="2"/>
    </font>
    <font>
      <b/>
      <sz val="11"/>
      <color theme="0"/>
      <name val="Lato"/>
      <family val="2"/>
    </font>
    <font>
      <sz val="11"/>
      <color theme="0"/>
      <name val="Lato"/>
      <family val="2"/>
    </font>
    <font>
      <sz val="10"/>
      <color theme="0"/>
      <name val="Lato"/>
      <family val="2"/>
    </font>
    <font>
      <b/>
      <sz val="11"/>
      <name val="Lato"/>
      <family val="2"/>
    </font>
    <font>
      <sz val="11"/>
      <name val="Lato"/>
      <family val="2"/>
    </font>
    <font>
      <sz val="11"/>
      <color rgb="FF006CB6"/>
      <name val="Lato"/>
      <family val="2"/>
    </font>
    <font>
      <b/>
      <sz val="11"/>
      <color indexed="8"/>
      <name val="Lato"/>
      <family val="2"/>
    </font>
    <font>
      <b/>
      <sz val="11"/>
      <color rgb="FF878787"/>
      <name val="Lato"/>
      <family val="2"/>
    </font>
    <font>
      <sz val="11"/>
      <color indexed="8"/>
      <name val="Lato"/>
      <family val="2"/>
    </font>
    <font>
      <u/>
      <sz val="11"/>
      <name val="Lato"/>
      <family val="2"/>
    </font>
    <font>
      <b/>
      <sz val="11"/>
      <color rgb="FF006CB6"/>
      <name val="Lato"/>
      <family val="2"/>
    </font>
    <font>
      <i/>
      <sz val="11"/>
      <name val="Lato"/>
      <family val="2"/>
    </font>
    <font>
      <u/>
      <sz val="11"/>
      <color indexed="8"/>
      <name val="Lato"/>
      <family val="2"/>
    </font>
    <font>
      <b/>
      <sz val="11"/>
      <color rgb="FF000000"/>
      <name val="Lato"/>
      <family val="2"/>
    </font>
    <font>
      <b/>
      <sz val="14"/>
      <color theme="0"/>
      <name val="Lato"/>
      <family val="2"/>
    </font>
    <font>
      <sz val="14"/>
      <color theme="0"/>
      <name val="Lato"/>
      <family val="2"/>
    </font>
    <font>
      <u/>
      <sz val="11"/>
      <color theme="0"/>
      <name val="Lato"/>
      <family val="2"/>
    </font>
    <font>
      <b/>
      <sz val="11"/>
      <name val="Lato"/>
      <family val="2"/>
    </font>
    <font>
      <sz val="11"/>
      <name val="Lato"/>
      <family val="2"/>
    </font>
    <font>
      <b/>
      <sz val="12"/>
      <name val="Lato"/>
      <family val="2"/>
    </font>
    <font>
      <sz val="11"/>
      <color theme="1"/>
      <name val="Arial"/>
      <family val="2"/>
    </font>
    <font>
      <sz val="12"/>
      <name val="Calibri"/>
      <family val="2"/>
      <scheme val="minor"/>
    </font>
    <font>
      <sz val="11"/>
      <name val="Arial"/>
      <family val="2"/>
    </font>
    <font>
      <b/>
      <sz val="11"/>
      <color theme="1"/>
      <name val="Lato"/>
      <family val="2"/>
    </font>
    <font>
      <b/>
      <sz val="11"/>
      <color rgb="FF00B050"/>
      <name val="Lato"/>
      <family val="2"/>
    </font>
    <font>
      <b/>
      <sz val="11"/>
      <color rgb="FFFFFFFF"/>
      <name val="Lato"/>
      <family val="2"/>
    </font>
    <font>
      <sz val="11"/>
      <color theme="1" tint="0.499984740745262"/>
      <name val="Lato"/>
      <family val="2"/>
    </font>
    <font>
      <b/>
      <sz val="12"/>
      <color rgb="FFFFFFFF"/>
      <name val="Lato"/>
      <family val="2"/>
    </font>
    <font>
      <b/>
      <sz val="11"/>
      <color rgb="FFFF0000"/>
      <name val="Lato"/>
      <family val="2"/>
    </font>
    <font>
      <b/>
      <sz val="11"/>
      <color theme="0" tint="-0.499984740745262"/>
      <name val="Lato"/>
      <family val="2"/>
    </font>
    <font>
      <sz val="11"/>
      <color theme="0" tint="-0.499984740745262"/>
      <name val="Lato"/>
      <family val="2"/>
    </font>
    <font>
      <b/>
      <sz val="11"/>
      <color theme="0" tint="-0.34998626667073579"/>
      <name val="Lato"/>
      <family val="2"/>
    </font>
    <font>
      <sz val="11"/>
      <color theme="0" tint="-0.34998626667073579"/>
      <name val="Lato"/>
      <family val="2"/>
    </font>
    <font>
      <b/>
      <sz val="11"/>
      <color rgb="FF808080"/>
      <name val="Lato"/>
      <family val="2"/>
    </font>
    <font>
      <sz val="11"/>
      <color rgb="FF808080"/>
      <name val="Lato"/>
      <family val="2"/>
    </font>
    <font>
      <sz val="11"/>
      <color indexed="10"/>
      <name val="Lato"/>
      <family val="2"/>
    </font>
  </fonts>
  <fills count="21">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57AB27"/>
        <bgColor indexed="64"/>
      </patternFill>
    </fill>
    <fill>
      <patternFill patternType="lightDown">
        <bgColor theme="0"/>
      </patternFill>
    </fill>
    <fill>
      <patternFill patternType="solid">
        <fgColor rgb="FF52AE32"/>
        <bgColor indexed="64"/>
      </patternFill>
    </fill>
    <fill>
      <patternFill patternType="solid">
        <fgColor rgb="FF878787"/>
        <bgColor indexed="64"/>
      </patternFill>
    </fill>
    <fill>
      <patternFill patternType="solid">
        <fgColor rgb="FF006CB6"/>
        <bgColor indexed="64"/>
      </patternFill>
    </fill>
    <fill>
      <patternFill patternType="solid">
        <fgColor theme="7"/>
        <bgColor indexed="64"/>
      </patternFill>
    </fill>
    <fill>
      <patternFill patternType="solid">
        <fgColor theme="1"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538DD5"/>
        <bgColor rgb="FF000000"/>
      </patternFill>
    </fill>
    <fill>
      <patternFill patternType="solid">
        <fgColor rgb="FF0070C0"/>
        <bgColor indexed="64"/>
      </patternFill>
    </fill>
    <fill>
      <patternFill patternType="solid">
        <fgColor theme="4"/>
        <bgColor indexed="64"/>
      </patternFill>
    </fill>
  </fills>
  <borders count="87">
    <border>
      <left/>
      <right/>
      <top/>
      <bottom/>
      <diagonal/>
    </border>
    <border>
      <left style="medium">
        <color auto="1"/>
      </left>
      <right/>
      <top style="medium">
        <color auto="1"/>
      </top>
      <bottom/>
      <diagonal/>
    </border>
    <border>
      <left style="medium">
        <color auto="1"/>
      </left>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style="medium">
        <color auto="1"/>
      </left>
      <right style="medium">
        <color auto="1"/>
      </right>
      <top/>
      <bottom style="thin">
        <color auto="1"/>
      </bottom>
      <diagonal/>
    </border>
    <border>
      <left/>
      <right style="medium">
        <color auto="1"/>
      </right>
      <top style="thin">
        <color auto="1"/>
      </top>
      <bottom/>
      <diagonal/>
    </border>
    <border>
      <left style="medium">
        <color auto="1"/>
      </left>
      <right style="medium">
        <color auto="1"/>
      </right>
      <top/>
      <bottom style="medium">
        <color auto="1"/>
      </bottom>
      <diagonal/>
    </border>
    <border>
      <left/>
      <right style="medium">
        <color auto="1"/>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right/>
      <top/>
      <bottom style="medium">
        <color auto="1"/>
      </bottom>
      <diagonal/>
    </border>
    <border>
      <left style="medium">
        <color auto="1"/>
      </left>
      <right style="thin">
        <color auto="1"/>
      </right>
      <top style="medium">
        <color auto="1"/>
      </top>
      <bottom/>
      <diagonal/>
    </border>
    <border>
      <left style="medium">
        <color auto="1"/>
      </left>
      <right style="medium">
        <color auto="1"/>
      </right>
      <top style="medium">
        <color auto="1"/>
      </top>
      <bottom/>
      <diagonal/>
    </border>
    <border>
      <left style="thin">
        <color auto="1"/>
      </left>
      <right style="thin">
        <color auto="1"/>
      </right>
      <top style="thin">
        <color auto="1"/>
      </top>
      <bottom/>
      <diagonal/>
    </border>
    <border>
      <left/>
      <right/>
      <top style="thin">
        <color auto="1"/>
      </top>
      <bottom style="thin">
        <color auto="1"/>
      </bottom>
      <diagonal/>
    </border>
    <border>
      <left style="medium">
        <color auto="1"/>
      </left>
      <right/>
      <top style="medium">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medium">
        <color auto="1"/>
      </right>
      <top/>
      <bottom/>
      <diagonal/>
    </border>
    <border>
      <left/>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right style="thin">
        <color auto="1"/>
      </right>
      <top/>
      <bottom/>
      <diagonal/>
    </border>
    <border>
      <left/>
      <right style="thin">
        <color auto="1"/>
      </right>
      <top/>
      <bottom style="medium">
        <color auto="1"/>
      </bottom>
      <diagonal/>
    </border>
    <border>
      <left style="medium">
        <color auto="1"/>
      </left>
      <right/>
      <top/>
      <bottom style="thin">
        <color auto="1"/>
      </bottom>
      <diagonal/>
    </border>
    <border>
      <left style="thin">
        <color auto="1"/>
      </left>
      <right/>
      <top style="medium">
        <color auto="1"/>
      </top>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diagonal/>
    </border>
    <border>
      <left style="thin">
        <color auto="1"/>
      </left>
      <right style="medium">
        <color auto="1"/>
      </right>
      <top/>
      <bottom style="medium">
        <color auto="1"/>
      </bottom>
      <diagonal/>
    </border>
    <border>
      <left/>
      <right style="thin">
        <color auto="1"/>
      </right>
      <top style="medium">
        <color auto="1"/>
      </top>
      <bottom/>
      <diagonal/>
    </border>
    <border>
      <left style="medium">
        <color auto="1"/>
      </left>
      <right style="thin">
        <color auto="1"/>
      </right>
      <top style="thin">
        <color auto="1"/>
      </top>
      <bottom/>
      <diagonal/>
    </border>
    <border>
      <left style="medium">
        <color indexed="64"/>
      </left>
      <right style="thin">
        <color auto="1"/>
      </right>
      <top/>
      <bottom style="medium">
        <color indexed="6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rgb="FF000000"/>
      </bottom>
      <diagonal/>
    </border>
    <border>
      <left style="thin">
        <color auto="1"/>
      </left>
      <right style="thin">
        <color auto="1"/>
      </right>
      <top style="medium">
        <color auto="1"/>
      </top>
      <bottom style="thin">
        <color rgb="FF000000"/>
      </bottom>
      <diagonal/>
    </border>
    <border>
      <left style="thin">
        <color auto="1"/>
      </left>
      <right style="medium">
        <color auto="1"/>
      </right>
      <top style="medium">
        <color auto="1"/>
      </top>
      <bottom style="thin">
        <color rgb="FF000000"/>
      </bottom>
      <diagonal/>
    </border>
    <border>
      <left style="medium">
        <color auto="1"/>
      </left>
      <right style="medium">
        <color rgb="FF000000"/>
      </right>
      <top style="medium">
        <color auto="1"/>
      </top>
      <bottom style="medium">
        <color auto="1"/>
      </bottom>
      <diagonal/>
    </border>
    <border>
      <left style="medium">
        <color auto="1"/>
      </left>
      <right style="medium">
        <color rgb="FF000000"/>
      </right>
      <top style="medium">
        <color auto="1"/>
      </top>
      <bottom style="thin">
        <color auto="1"/>
      </bottom>
      <diagonal/>
    </border>
    <border>
      <left style="medium">
        <color rgb="FF000000"/>
      </left>
      <right/>
      <top style="medium">
        <color auto="1"/>
      </top>
      <bottom style="thin">
        <color auto="1"/>
      </bottom>
      <diagonal/>
    </border>
    <border>
      <left style="medium">
        <color auto="1"/>
      </left>
      <right style="medium">
        <color rgb="FF000000"/>
      </right>
      <top style="thin">
        <color auto="1"/>
      </top>
      <bottom style="thin">
        <color auto="1"/>
      </bottom>
      <diagonal/>
    </border>
    <border>
      <left style="medium">
        <color rgb="FF000000"/>
      </left>
      <right/>
      <top style="thin">
        <color auto="1"/>
      </top>
      <bottom style="thin">
        <color auto="1"/>
      </bottom>
      <diagonal/>
    </border>
    <border>
      <left style="medium">
        <color rgb="FF000000"/>
      </left>
      <right/>
      <top style="medium">
        <color auto="1"/>
      </top>
      <bottom style="medium">
        <color auto="1"/>
      </bottom>
      <diagonal/>
    </border>
    <border>
      <left style="medium">
        <color rgb="FF000000"/>
      </left>
      <right/>
      <top style="medium">
        <color auto="1"/>
      </top>
      <bottom style="thin">
        <color rgb="FF000000"/>
      </bottom>
      <diagonal/>
    </border>
    <border>
      <left/>
      <right/>
      <top style="medium">
        <color auto="1"/>
      </top>
      <bottom style="thin">
        <color rgb="FF000000"/>
      </bottom>
      <diagonal/>
    </border>
    <border>
      <left style="medium">
        <color auto="1"/>
      </left>
      <right style="medium">
        <color auto="1"/>
      </right>
      <top style="medium">
        <color auto="1"/>
      </top>
      <bottom style="thin">
        <color rgb="FF000000"/>
      </bottom>
      <diagonal/>
    </border>
    <border>
      <left style="medium">
        <color rgb="FF000000"/>
      </left>
      <right/>
      <top/>
      <bottom style="medium">
        <color auto="1"/>
      </bottom>
      <diagonal/>
    </border>
    <border>
      <left style="medium">
        <color auto="1"/>
      </left>
      <right/>
      <top style="thin">
        <color auto="1"/>
      </top>
      <bottom/>
      <diagonal/>
    </border>
    <border>
      <left style="thin">
        <color rgb="FF000000"/>
      </left>
      <right style="thin">
        <color rgb="FF000000"/>
      </right>
      <top style="thin">
        <color rgb="FF000000"/>
      </top>
      <bottom/>
      <diagonal/>
    </border>
    <border>
      <left style="thin">
        <color auto="1"/>
      </left>
      <right style="thin">
        <color auto="1"/>
      </right>
      <top/>
      <bottom/>
      <diagonal/>
    </border>
    <border>
      <left style="thin">
        <color auto="1"/>
      </left>
      <right/>
      <top style="medium">
        <color indexed="64"/>
      </top>
      <bottom style="medium">
        <color indexed="64"/>
      </bottom>
      <diagonal/>
    </border>
  </borders>
  <cellStyleXfs count="15">
    <xf numFmtId="0" fontId="0" fillId="0" borderId="0"/>
    <xf numFmtId="43" fontId="3" fillId="0" borderId="0" applyFont="0" applyFill="0" applyBorder="0" applyAlignment="0" applyProtection="0"/>
    <xf numFmtId="43" fontId="1" fillId="0" borderId="0" applyFont="0" applyFill="0" applyBorder="0" applyAlignment="0" applyProtection="0"/>
    <xf numFmtId="0" fontId="2" fillId="0" borderId="0"/>
    <xf numFmtId="0" fontId="2" fillId="0" borderId="0"/>
    <xf numFmtId="9" fontId="3" fillId="0" borderId="0" applyFont="0" applyFill="0" applyBorder="0" applyAlignment="0" applyProtection="0"/>
    <xf numFmtId="9"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6">
    <xf numFmtId="0" fontId="0" fillId="0" borderId="0" xfId="0"/>
    <xf numFmtId="0" fontId="4" fillId="3" borderId="1" xfId="0" applyFont="1" applyFill="1" applyBorder="1" applyProtection="1">
      <protection locked="0"/>
    </xf>
    <xf numFmtId="0" fontId="4" fillId="0" borderId="0" xfId="0" applyFont="1" applyProtection="1">
      <protection locked="0"/>
    </xf>
    <xf numFmtId="0" fontId="4" fillId="3" borderId="2" xfId="0" applyFont="1" applyFill="1" applyBorder="1" applyProtection="1">
      <protection locked="0"/>
    </xf>
    <xf numFmtId="0" fontId="4" fillId="3" borderId="4" xfId="0" applyFont="1" applyFill="1" applyBorder="1" applyProtection="1">
      <protection locked="0"/>
    </xf>
    <xf numFmtId="0" fontId="6" fillId="3" borderId="2" xfId="0" applyFont="1" applyFill="1" applyBorder="1" applyProtection="1">
      <protection locked="0"/>
    </xf>
    <xf numFmtId="0" fontId="6" fillId="3" borderId="4" xfId="0" applyFont="1" applyFill="1" applyBorder="1" applyProtection="1">
      <protection locked="0"/>
    </xf>
    <xf numFmtId="0" fontId="6" fillId="0" borderId="0" xfId="0" applyFont="1" applyProtection="1">
      <protection locked="0"/>
    </xf>
    <xf numFmtId="0" fontId="4" fillId="3" borderId="0" xfId="0" applyFont="1" applyFill="1" applyProtection="1">
      <protection locked="0"/>
    </xf>
    <xf numFmtId="0" fontId="4" fillId="2" borderId="8" xfId="0" applyFont="1" applyFill="1" applyBorder="1" applyAlignment="1" applyProtection="1">
      <alignment horizontal="left" vertical="center"/>
      <protection locked="0"/>
    </xf>
    <xf numFmtId="0" fontId="4" fillId="2" borderId="10" xfId="0" applyFont="1" applyFill="1" applyBorder="1" applyAlignment="1" applyProtection="1">
      <alignment vertical="center"/>
      <protection locked="0"/>
    </xf>
    <xf numFmtId="0" fontId="4" fillId="2" borderId="10" xfId="0" applyFont="1" applyFill="1" applyBorder="1" applyAlignment="1" applyProtection="1">
      <alignment horizontal="left" vertical="center"/>
      <protection locked="0"/>
    </xf>
    <xf numFmtId="17" fontId="4" fillId="2" borderId="10" xfId="0" applyNumberFormat="1" applyFont="1" applyFill="1" applyBorder="1" applyAlignment="1" applyProtection="1">
      <alignment vertical="center"/>
      <protection locked="0"/>
    </xf>
    <xf numFmtId="165" fontId="4" fillId="3" borderId="0" xfId="2" applyNumberFormat="1" applyFont="1" applyFill="1" applyBorder="1" applyAlignment="1" applyProtection="1">
      <protection locked="0"/>
    </xf>
    <xf numFmtId="0" fontId="4" fillId="3" borderId="0" xfId="0" applyFont="1" applyFill="1" applyAlignment="1" applyProtection="1">
      <alignment vertical="center"/>
      <protection locked="0"/>
    </xf>
    <xf numFmtId="17" fontId="4" fillId="4" borderId="15" xfId="0" applyNumberFormat="1" applyFont="1" applyFill="1" applyBorder="1" applyAlignment="1" applyProtection="1">
      <alignment vertical="center"/>
      <protection locked="0"/>
    </xf>
    <xf numFmtId="17" fontId="4" fillId="3" borderId="0" xfId="0" applyNumberFormat="1" applyFont="1" applyFill="1" applyAlignment="1" applyProtection="1">
      <alignment horizontal="left" vertical="center"/>
      <protection locked="0"/>
    </xf>
    <xf numFmtId="0" fontId="4" fillId="3" borderId="0" xfId="6" applyNumberFormat="1" applyFont="1" applyFill="1" applyBorder="1" applyAlignment="1" applyProtection="1">
      <alignment horizontal="left" vertical="center"/>
      <protection locked="0"/>
    </xf>
    <xf numFmtId="0" fontId="4" fillId="4" borderId="8" xfId="6" applyNumberFormat="1" applyFont="1" applyFill="1" applyBorder="1" applyAlignment="1" applyProtection="1">
      <alignment horizontal="left" vertical="center"/>
      <protection locked="0"/>
    </xf>
    <xf numFmtId="0" fontId="4" fillId="4" borderId="10" xfId="6" applyNumberFormat="1" applyFont="1" applyFill="1" applyBorder="1" applyAlignment="1" applyProtection="1">
      <alignment horizontal="left" vertical="center"/>
      <protection locked="0"/>
    </xf>
    <xf numFmtId="0" fontId="4" fillId="4" borderId="17" xfId="6" applyNumberFormat="1" applyFont="1" applyFill="1" applyBorder="1" applyAlignment="1" applyProtection="1">
      <alignment horizontal="left" vertical="center"/>
      <protection locked="0"/>
    </xf>
    <xf numFmtId="0" fontId="10" fillId="3" borderId="0" xfId="0" applyFont="1" applyFill="1" applyAlignment="1" applyProtection="1">
      <alignment vertical="center"/>
      <protection locked="0"/>
    </xf>
    <xf numFmtId="17" fontId="10" fillId="3" borderId="0" xfId="0" applyNumberFormat="1" applyFont="1" applyFill="1" applyAlignment="1" applyProtection="1">
      <alignment horizontal="center" vertical="center" wrapText="1"/>
      <protection locked="0"/>
    </xf>
    <xf numFmtId="17" fontId="10" fillId="4" borderId="15" xfId="0" applyNumberFormat="1" applyFont="1" applyFill="1" applyBorder="1" applyAlignment="1" applyProtection="1">
      <alignment vertical="center"/>
      <protection locked="0"/>
    </xf>
    <xf numFmtId="0" fontId="5" fillId="3" borderId="0" xfId="0" applyFont="1" applyFill="1" applyAlignment="1" applyProtection="1">
      <alignment vertical="center"/>
      <protection locked="0"/>
    </xf>
    <xf numFmtId="0" fontId="4" fillId="4" borderId="0" xfId="0" applyFont="1" applyFill="1" applyProtection="1">
      <protection locked="0"/>
    </xf>
    <xf numFmtId="0" fontId="6" fillId="4" borderId="0" xfId="0" applyFont="1" applyFill="1" applyProtection="1">
      <protection locked="0"/>
    </xf>
    <xf numFmtId="0" fontId="11" fillId="3" borderId="61" xfId="0" applyFont="1" applyFill="1" applyBorder="1" applyAlignment="1" applyProtection="1">
      <alignment vertical="center"/>
      <protection locked="0"/>
    </xf>
    <xf numFmtId="2" fontId="4" fillId="3" borderId="61" xfId="0" applyNumberFormat="1" applyFont="1" applyFill="1" applyBorder="1" applyAlignment="1" applyProtection="1">
      <alignment horizontal="right"/>
      <protection locked="0"/>
    </xf>
    <xf numFmtId="0" fontId="4" fillId="3" borderId="61" xfId="0" applyFont="1" applyFill="1" applyBorder="1" applyProtection="1">
      <protection locked="0"/>
    </xf>
    <xf numFmtId="0" fontId="4" fillId="3" borderId="61" xfId="0" applyFont="1" applyFill="1" applyBorder="1" applyAlignment="1" applyProtection="1">
      <alignment horizontal="center"/>
      <protection locked="0"/>
    </xf>
    <xf numFmtId="0" fontId="4" fillId="3" borderId="62" xfId="0" applyFont="1" applyFill="1" applyBorder="1" applyProtection="1">
      <protection locked="0"/>
    </xf>
    <xf numFmtId="17" fontId="4" fillId="0" borderId="9" xfId="0" applyNumberFormat="1" applyFont="1" applyBorder="1" applyAlignment="1" applyProtection="1">
      <alignment horizontal="center" vertical="center" wrapText="1"/>
      <protection locked="0"/>
    </xf>
    <xf numFmtId="17" fontId="4" fillId="0" borderId="11" xfId="0" applyNumberFormat="1" applyFont="1" applyBorder="1" applyAlignment="1" applyProtection="1">
      <alignment horizontal="center" vertical="center" wrapText="1"/>
      <protection locked="0"/>
    </xf>
    <xf numFmtId="3" fontId="4" fillId="0" borderId="11" xfId="2" applyNumberFormat="1" applyFont="1" applyFill="1" applyBorder="1" applyAlignment="1" applyProtection="1">
      <alignment horizontal="center" vertical="center" wrapText="1"/>
      <protection locked="0"/>
    </xf>
    <xf numFmtId="3" fontId="4" fillId="0" borderId="14" xfId="2" applyNumberFormat="1" applyFont="1" applyFill="1" applyBorder="1" applyAlignment="1" applyProtection="1">
      <alignment horizontal="center" vertical="center" wrapText="1"/>
      <protection locked="0"/>
    </xf>
    <xf numFmtId="9" fontId="4" fillId="5" borderId="16" xfId="6" applyFont="1" applyFill="1" applyBorder="1" applyAlignment="1" applyProtection="1">
      <alignment horizontal="center" vertical="center"/>
    </xf>
    <xf numFmtId="3" fontId="4" fillId="0" borderId="21" xfId="2" applyNumberFormat="1" applyFont="1" applyFill="1" applyBorder="1" applyAlignment="1" applyProtection="1">
      <alignment horizontal="center" vertical="center" wrapText="1"/>
      <protection locked="0"/>
    </xf>
    <xf numFmtId="3" fontId="4" fillId="0" borderId="16" xfId="2" applyNumberFormat="1" applyFont="1" applyFill="1" applyBorder="1" applyAlignment="1" applyProtection="1">
      <alignment horizontal="center" vertical="center" wrapText="1"/>
      <protection locked="0"/>
    </xf>
    <xf numFmtId="3" fontId="4" fillId="0" borderId="8" xfId="2" applyNumberFormat="1" applyFont="1" applyFill="1" applyBorder="1" applyAlignment="1" applyProtection="1">
      <alignment horizontal="center" vertical="center" wrapText="1"/>
      <protection locked="0"/>
    </xf>
    <xf numFmtId="3" fontId="4" fillId="0" borderId="10" xfId="2" applyNumberFormat="1" applyFont="1" applyFill="1" applyBorder="1" applyAlignment="1" applyProtection="1">
      <alignment horizontal="center" vertical="center" wrapText="1"/>
      <protection locked="0"/>
    </xf>
    <xf numFmtId="3" fontId="4" fillId="0" borderId="17" xfId="2" applyNumberFormat="1" applyFont="1" applyFill="1" applyBorder="1" applyAlignment="1" applyProtection="1">
      <alignment horizontal="center" vertical="center" wrapText="1"/>
      <protection locked="0"/>
    </xf>
    <xf numFmtId="1" fontId="10" fillId="5" borderId="15" xfId="0" applyNumberFormat="1" applyFont="1" applyFill="1" applyBorder="1" applyAlignment="1">
      <alignment horizontal="center" vertical="center"/>
    </xf>
    <xf numFmtId="0" fontId="14" fillId="8" borderId="10" xfId="0" applyFont="1" applyFill="1" applyBorder="1" applyAlignment="1" applyProtection="1">
      <alignment horizontal="left" vertical="center"/>
      <protection locked="0"/>
    </xf>
    <xf numFmtId="0" fontId="14" fillId="10" borderId="10" xfId="0" applyFont="1" applyFill="1" applyBorder="1" applyAlignment="1" applyProtection="1">
      <alignment horizontal="left" vertical="center"/>
      <protection locked="0"/>
    </xf>
    <xf numFmtId="0" fontId="14" fillId="11" borderId="13" xfId="0" applyFont="1" applyFill="1" applyBorder="1" applyAlignment="1" applyProtection="1">
      <alignment horizontal="left" vertical="center"/>
      <protection locked="0"/>
    </xf>
    <xf numFmtId="0" fontId="7" fillId="0" borderId="11" xfId="0" applyFont="1" applyBorder="1" applyAlignment="1" applyProtection="1">
      <alignment horizontal="center" vertical="center" wrapText="1"/>
      <protection locked="0"/>
    </xf>
    <xf numFmtId="0" fontId="9" fillId="0" borderId="16" xfId="0" applyFont="1" applyBorder="1" applyAlignment="1" applyProtection="1">
      <alignment horizontal="center" vertical="center" wrapText="1"/>
      <protection locked="0"/>
    </xf>
    <xf numFmtId="0" fontId="6" fillId="0" borderId="8" xfId="0" applyFont="1" applyBorder="1" applyAlignment="1" applyProtection="1">
      <alignment vertical="center"/>
      <protection locked="0"/>
    </xf>
    <xf numFmtId="0" fontId="6" fillId="0" borderId="10" xfId="0" applyFont="1" applyBorder="1" applyAlignment="1" applyProtection="1">
      <alignment horizontal="left" vertical="center"/>
      <protection locked="0"/>
    </xf>
    <xf numFmtId="0" fontId="6" fillId="0" borderId="17" xfId="0" applyFont="1" applyBorder="1" applyAlignment="1" applyProtection="1">
      <alignment horizontal="left" vertical="center"/>
      <protection locked="0"/>
    </xf>
    <xf numFmtId="0" fontId="12" fillId="9" borderId="18"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wrapText="1"/>
      <protection locked="0"/>
    </xf>
    <xf numFmtId="0" fontId="4" fillId="3" borderId="1" xfId="0" applyFont="1" applyFill="1" applyBorder="1" applyAlignment="1" applyProtection="1">
      <alignment vertical="center"/>
      <protection locked="0"/>
    </xf>
    <xf numFmtId="0" fontId="4" fillId="0" borderId="0" xfId="0" applyFont="1" applyAlignment="1" applyProtection="1">
      <alignment vertical="center"/>
      <protection locked="0"/>
    </xf>
    <xf numFmtId="0" fontId="4" fillId="3" borderId="2" xfId="0" applyFont="1" applyFill="1" applyBorder="1" applyAlignment="1" applyProtection="1">
      <alignment vertical="center"/>
      <protection locked="0"/>
    </xf>
    <xf numFmtId="166" fontId="7" fillId="3" borderId="0" xfId="0" applyNumberFormat="1" applyFont="1" applyFill="1" applyAlignment="1" applyProtection="1">
      <alignment vertical="center"/>
      <protection locked="0"/>
    </xf>
    <xf numFmtId="0" fontId="4" fillId="3" borderId="4" xfId="0" applyFont="1" applyFill="1" applyBorder="1" applyAlignment="1" applyProtection="1">
      <alignment vertical="center"/>
      <protection locked="0"/>
    </xf>
    <xf numFmtId="0" fontId="6" fillId="3" borderId="2" xfId="0" applyFont="1" applyFill="1" applyBorder="1" applyAlignment="1" applyProtection="1">
      <alignment vertical="center"/>
      <protection locked="0"/>
    </xf>
    <xf numFmtId="0" fontId="7" fillId="3" borderId="0" xfId="0" applyFont="1" applyFill="1" applyAlignment="1" applyProtection="1">
      <alignment vertical="center"/>
      <protection locked="0"/>
    </xf>
    <xf numFmtId="0" fontId="6" fillId="3" borderId="4" xfId="0" applyFont="1" applyFill="1" applyBorder="1" applyAlignment="1" applyProtection="1">
      <alignment vertical="center"/>
      <protection locked="0"/>
    </xf>
    <xf numFmtId="0" fontId="6" fillId="0" borderId="0" xfId="0" applyFont="1" applyAlignment="1" applyProtection="1">
      <alignment vertical="center"/>
      <protection locked="0"/>
    </xf>
    <xf numFmtId="0" fontId="6" fillId="3" borderId="0" xfId="0" applyFont="1" applyFill="1" applyAlignment="1" applyProtection="1">
      <alignment vertical="center"/>
      <protection locked="0"/>
    </xf>
    <xf numFmtId="17" fontId="4" fillId="3" borderId="0" xfId="0" applyNumberFormat="1" applyFont="1" applyFill="1" applyAlignment="1" applyProtection="1">
      <alignment vertical="center"/>
      <protection locked="0"/>
    </xf>
    <xf numFmtId="14" fontId="4" fillId="3" borderId="0" xfId="0" applyNumberFormat="1" applyFont="1" applyFill="1" applyAlignment="1" applyProtection="1">
      <alignment vertical="center"/>
      <protection locked="0"/>
    </xf>
    <xf numFmtId="165" fontId="4" fillId="3" borderId="0" xfId="2" applyNumberFormat="1" applyFont="1" applyFill="1" applyBorder="1" applyAlignment="1" applyProtection="1">
      <alignment vertical="center"/>
      <protection locked="0"/>
    </xf>
    <xf numFmtId="20" fontId="4" fillId="3" borderId="0" xfId="0" applyNumberFormat="1" applyFont="1" applyFill="1" applyAlignment="1" applyProtection="1">
      <alignment vertical="center"/>
      <protection locked="0"/>
    </xf>
    <xf numFmtId="0" fontId="4" fillId="0" borderId="4" xfId="0" applyFont="1" applyBorder="1" applyAlignment="1" applyProtection="1">
      <alignment vertical="center"/>
      <protection locked="0"/>
    </xf>
    <xf numFmtId="0" fontId="4" fillId="0" borderId="12" xfId="0" applyFont="1" applyBorder="1" applyAlignment="1" applyProtection="1">
      <alignment vertical="center"/>
      <protection locked="0"/>
    </xf>
    <xf numFmtId="0" fontId="4" fillId="3" borderId="6" xfId="0" applyFont="1" applyFill="1" applyBorder="1" applyAlignment="1" applyProtection="1">
      <alignment vertical="center"/>
      <protection locked="0"/>
    </xf>
    <xf numFmtId="0" fontId="4" fillId="3" borderId="24" xfId="0" applyFont="1" applyFill="1" applyBorder="1" applyAlignment="1" applyProtection="1">
      <alignment vertical="center"/>
      <protection locked="0"/>
    </xf>
    <xf numFmtId="0" fontId="4" fillId="3" borderId="12" xfId="0" applyFont="1" applyFill="1" applyBorder="1" applyAlignment="1" applyProtection="1">
      <alignment vertical="center"/>
      <protection locked="0"/>
    </xf>
    <xf numFmtId="0" fontId="14" fillId="13" borderId="10" xfId="0" applyFont="1" applyFill="1" applyBorder="1" applyAlignment="1" applyProtection="1">
      <alignment horizontal="left" vertical="center"/>
      <protection locked="0"/>
    </xf>
    <xf numFmtId="0" fontId="14" fillId="14" borderId="10" xfId="0" applyFont="1" applyFill="1" applyBorder="1" applyAlignment="1" applyProtection="1">
      <alignment horizontal="left" vertical="center"/>
      <protection locked="0"/>
    </xf>
    <xf numFmtId="0" fontId="16" fillId="3" borderId="2" xfId="0" applyFont="1" applyFill="1" applyBorder="1" applyProtection="1">
      <protection locked="0"/>
    </xf>
    <xf numFmtId="165" fontId="16" fillId="3" borderId="0" xfId="2" applyNumberFormat="1" applyFont="1" applyFill="1" applyBorder="1" applyAlignment="1" applyProtection="1">
      <protection locked="0"/>
    </xf>
    <xf numFmtId="0" fontId="16" fillId="3" borderId="0" xfId="0" applyFont="1" applyFill="1" applyProtection="1">
      <protection locked="0"/>
    </xf>
    <xf numFmtId="0" fontId="16" fillId="3" borderId="4" xfId="0" applyFont="1" applyFill="1" applyBorder="1" applyProtection="1">
      <protection locked="0"/>
    </xf>
    <xf numFmtId="0" fontId="16" fillId="0" borderId="0" xfId="0" applyFont="1" applyProtection="1">
      <protection locked="0"/>
    </xf>
    <xf numFmtId="0" fontId="12" fillId="6" borderId="35" xfId="3" applyFont="1" applyFill="1" applyBorder="1" applyAlignment="1">
      <alignment horizontal="center" vertical="center"/>
    </xf>
    <xf numFmtId="0" fontId="15" fillId="3" borderId="0" xfId="0" applyFont="1" applyFill="1" applyAlignment="1" applyProtection="1">
      <alignment vertical="center"/>
      <protection locked="0"/>
    </xf>
    <xf numFmtId="17" fontId="16" fillId="3" borderId="0" xfId="0" applyNumberFormat="1" applyFont="1" applyFill="1" applyAlignment="1" applyProtection="1">
      <alignment vertical="center"/>
      <protection locked="0"/>
    </xf>
    <xf numFmtId="0" fontId="15" fillId="3" borderId="0" xfId="0" applyFont="1" applyFill="1" applyAlignment="1" applyProtection="1">
      <alignment horizontal="left" vertical="center"/>
      <protection locked="0"/>
    </xf>
    <xf numFmtId="0" fontId="16" fillId="3" borderId="0" xfId="0" applyFont="1" applyFill="1" applyAlignment="1" applyProtection="1">
      <alignment horizontal="center" vertical="center"/>
      <protection locked="0"/>
    </xf>
    <xf numFmtId="0" fontId="16" fillId="3" borderId="0" xfId="0" applyFont="1" applyFill="1" applyAlignment="1" applyProtection="1">
      <alignment vertical="center"/>
      <protection locked="0"/>
    </xf>
    <xf numFmtId="0" fontId="17" fillId="3" borderId="0" xfId="0" applyFont="1" applyFill="1" applyAlignment="1" applyProtection="1">
      <alignment vertical="center"/>
      <protection locked="0"/>
    </xf>
    <xf numFmtId="0" fontId="12" fillId="6" borderId="18" xfId="3" applyFont="1" applyFill="1" applyBorder="1" applyAlignment="1">
      <alignment horizontal="center" vertical="center"/>
    </xf>
    <xf numFmtId="0" fontId="12" fillId="6" borderId="18" xfId="3" applyFont="1" applyFill="1" applyBorder="1" applyAlignment="1">
      <alignment horizontal="center" vertical="center" wrapText="1"/>
    </xf>
    <xf numFmtId="0" fontId="12" fillId="6" borderId="48" xfId="3" applyFont="1" applyFill="1" applyBorder="1" applyAlignment="1">
      <alignment horizontal="center" vertical="center" wrapText="1"/>
    </xf>
    <xf numFmtId="0" fontId="12" fillId="6" borderId="49" xfId="3" applyFont="1" applyFill="1" applyBorder="1" applyAlignment="1">
      <alignment horizontal="center" vertical="center" wrapText="1"/>
    </xf>
    <xf numFmtId="0" fontId="12" fillId="6" borderId="52" xfId="3" applyFont="1" applyFill="1" applyBorder="1" applyAlignment="1">
      <alignment horizontal="center" vertical="center" wrapText="1"/>
    </xf>
    <xf numFmtId="167" fontId="12" fillId="6" borderId="48" xfId="3" applyNumberFormat="1" applyFont="1" applyFill="1" applyBorder="1" applyAlignment="1">
      <alignment horizontal="center" vertical="center"/>
    </xf>
    <xf numFmtId="168" fontId="12" fillId="6" borderId="49" xfId="3" applyNumberFormat="1" applyFont="1" applyFill="1" applyBorder="1" applyAlignment="1">
      <alignment horizontal="center" vertical="center"/>
    </xf>
    <xf numFmtId="3" fontId="15" fillId="0" borderId="41" xfId="0" applyNumberFormat="1" applyFont="1" applyBorder="1" applyAlignment="1" applyProtection="1">
      <alignment horizontal="center" vertical="center"/>
      <protection locked="0"/>
    </xf>
    <xf numFmtId="3" fontId="15" fillId="0" borderId="37" xfId="0" applyNumberFormat="1" applyFont="1" applyBorder="1" applyAlignment="1">
      <alignment horizontal="center" vertical="center"/>
    </xf>
    <xf numFmtId="9" fontId="15" fillId="0" borderId="3" xfId="6" applyFont="1" applyFill="1" applyBorder="1" applyAlignment="1" applyProtection="1">
      <alignment horizontal="center" vertical="center"/>
    </xf>
    <xf numFmtId="3" fontId="16" fillId="0" borderId="36" xfId="0" applyNumberFormat="1" applyFont="1" applyBorder="1" applyAlignment="1" applyProtection="1">
      <alignment horizontal="center" vertical="center"/>
      <protection locked="0"/>
    </xf>
    <xf numFmtId="3" fontId="16" fillId="0" borderId="37" xfId="0" applyNumberFormat="1" applyFont="1" applyBorder="1" applyAlignment="1" applyProtection="1">
      <alignment horizontal="center" vertical="center"/>
      <protection locked="0"/>
    </xf>
    <xf numFmtId="3" fontId="16" fillId="0" borderId="3" xfId="0" applyNumberFormat="1" applyFont="1" applyBorder="1" applyAlignment="1" applyProtection="1">
      <alignment horizontal="center" vertical="center"/>
      <protection locked="0"/>
    </xf>
    <xf numFmtId="3" fontId="15" fillId="0" borderId="22" xfId="0" applyNumberFormat="1" applyFont="1" applyBorder="1" applyAlignment="1" applyProtection="1">
      <alignment horizontal="center" vertical="center"/>
      <protection locked="0"/>
    </xf>
    <xf numFmtId="3" fontId="15" fillId="0" borderId="34" xfId="0" applyNumberFormat="1" applyFont="1" applyBorder="1" applyAlignment="1">
      <alignment horizontal="center" vertical="center"/>
    </xf>
    <xf numFmtId="9" fontId="15" fillId="0" borderId="5" xfId="0" applyNumberFormat="1" applyFont="1" applyBorder="1" applyAlignment="1">
      <alignment horizontal="center" vertical="center"/>
    </xf>
    <xf numFmtId="3" fontId="16" fillId="0" borderId="33" xfId="0" applyNumberFormat="1" applyFont="1" applyBorder="1" applyAlignment="1" applyProtection="1">
      <alignment horizontal="center" vertical="center"/>
      <protection locked="0"/>
    </xf>
    <xf numFmtId="3" fontId="16" fillId="0" borderId="34" xfId="0" applyNumberFormat="1" applyFont="1" applyBorder="1" applyAlignment="1" applyProtection="1">
      <alignment horizontal="center" vertical="center"/>
      <protection locked="0"/>
    </xf>
    <xf numFmtId="3" fontId="16" fillId="0" borderId="5" xfId="0" applyNumberFormat="1" applyFont="1" applyBorder="1" applyAlignment="1" applyProtection="1">
      <alignment horizontal="center" vertical="center"/>
      <protection locked="0"/>
    </xf>
    <xf numFmtId="3" fontId="15" fillId="0" borderId="23" xfId="0" applyNumberFormat="1" applyFont="1" applyBorder="1" applyAlignment="1" applyProtection="1">
      <alignment horizontal="center" vertical="center"/>
      <protection locked="0"/>
    </xf>
    <xf numFmtId="3" fontId="15" fillId="0" borderId="45" xfId="0" applyNumberFormat="1" applyFont="1" applyBorder="1" applyAlignment="1">
      <alignment horizontal="center" vertical="center"/>
    </xf>
    <xf numFmtId="9" fontId="15" fillId="0" borderId="7" xfId="0" applyNumberFormat="1" applyFont="1" applyBorder="1" applyAlignment="1">
      <alignment horizontal="center" vertical="center"/>
    </xf>
    <xf numFmtId="3" fontId="16" fillId="0" borderId="59" xfId="0" applyNumberFormat="1" applyFont="1" applyBorder="1" applyAlignment="1" applyProtection="1">
      <alignment horizontal="center" vertical="center"/>
      <protection locked="0"/>
    </xf>
    <xf numFmtId="3" fontId="16" fillId="0" borderId="45" xfId="0" applyNumberFormat="1" applyFont="1" applyBorder="1" applyAlignment="1" applyProtection="1">
      <alignment horizontal="center" vertical="center"/>
      <protection locked="0"/>
    </xf>
    <xf numFmtId="3" fontId="16" fillId="0" borderId="7" xfId="0" applyNumberFormat="1" applyFont="1" applyBorder="1" applyAlignment="1" applyProtection="1">
      <alignment horizontal="center" vertical="center"/>
      <protection locked="0"/>
    </xf>
    <xf numFmtId="0" fontId="15" fillId="7" borderId="40" xfId="0" applyFont="1" applyFill="1" applyBorder="1" applyAlignment="1" applyProtection="1">
      <alignment horizontal="center" vertical="center" wrapText="1"/>
      <protection locked="0"/>
    </xf>
    <xf numFmtId="9" fontId="15" fillId="0" borderId="3" xfId="0" applyNumberFormat="1" applyFont="1" applyBorder="1" applyAlignment="1">
      <alignment horizontal="center" vertical="center"/>
    </xf>
    <xf numFmtId="3" fontId="16" fillId="0" borderId="31" xfId="0" applyNumberFormat="1" applyFont="1" applyBorder="1" applyAlignment="1" applyProtection="1">
      <alignment horizontal="center" vertical="center"/>
      <protection locked="0"/>
    </xf>
    <xf numFmtId="3" fontId="16" fillId="0" borderId="50" xfId="0" applyNumberFormat="1" applyFont="1" applyBorder="1" applyAlignment="1" applyProtection="1">
      <alignment horizontal="center" vertical="center"/>
      <protection locked="0"/>
    </xf>
    <xf numFmtId="3" fontId="15" fillId="15" borderId="34" xfId="0" applyNumberFormat="1" applyFont="1" applyFill="1" applyBorder="1" applyAlignment="1">
      <alignment horizontal="center" vertical="center"/>
    </xf>
    <xf numFmtId="9" fontId="15" fillId="15" borderId="5" xfId="0" applyNumberFormat="1" applyFont="1" applyFill="1" applyBorder="1" applyAlignment="1">
      <alignment horizontal="center" vertical="center"/>
    </xf>
    <xf numFmtId="0" fontId="16" fillId="0" borderId="17"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3" fontId="15" fillId="15" borderId="45" xfId="0" applyNumberFormat="1" applyFont="1" applyFill="1" applyBorder="1" applyAlignment="1">
      <alignment horizontal="center" vertical="center"/>
    </xf>
    <xf numFmtId="9" fontId="15" fillId="15" borderId="7" xfId="0" applyNumberFormat="1" applyFont="1" applyFill="1" applyBorder="1" applyAlignment="1">
      <alignment horizontal="center" vertical="center"/>
    </xf>
    <xf numFmtId="0" fontId="16" fillId="3" borderId="2" xfId="0" applyFont="1" applyFill="1" applyBorder="1" applyAlignment="1" applyProtection="1">
      <alignment horizontal="center" vertical="center"/>
      <protection locked="0"/>
    </xf>
    <xf numFmtId="2" fontId="16" fillId="3" borderId="0" xfId="0" applyNumberFormat="1" applyFont="1" applyFill="1" applyAlignment="1" applyProtection="1">
      <alignment horizontal="left" vertical="center" wrapText="1"/>
      <protection locked="0"/>
    </xf>
    <xf numFmtId="3" fontId="16" fillId="3" borderId="0" xfId="0" applyNumberFormat="1" applyFont="1" applyFill="1" applyAlignment="1" applyProtection="1">
      <alignment horizontal="center" vertical="center"/>
      <protection locked="0"/>
    </xf>
    <xf numFmtId="0" fontId="16" fillId="3" borderId="4" xfId="0" applyFont="1" applyFill="1" applyBorder="1" applyAlignment="1" applyProtection="1">
      <alignment horizontal="center" vertical="center"/>
      <protection locked="0"/>
    </xf>
    <xf numFmtId="0" fontId="16" fillId="0" borderId="0" xfId="0" applyFont="1" applyAlignment="1" applyProtection="1">
      <alignment horizontal="center" vertical="center"/>
      <protection locked="0"/>
    </xf>
    <xf numFmtId="3" fontId="16" fillId="0" borderId="49" xfId="0" applyNumberFormat="1" applyFont="1" applyBorder="1" applyAlignment="1" applyProtection="1">
      <alignment horizontal="center" vertical="center"/>
      <protection locked="0"/>
    </xf>
    <xf numFmtId="3" fontId="16" fillId="0" borderId="52" xfId="0" applyNumberFormat="1" applyFont="1" applyBorder="1" applyAlignment="1" applyProtection="1">
      <alignment horizontal="center" vertical="center"/>
      <protection locked="0"/>
    </xf>
    <xf numFmtId="3" fontId="16" fillId="0" borderId="41" xfId="0" applyNumberFormat="1" applyFont="1" applyBorder="1" applyAlignment="1" applyProtection="1">
      <alignment horizontal="center" vertical="center"/>
      <protection locked="0"/>
    </xf>
    <xf numFmtId="3" fontId="16" fillId="0" borderId="22" xfId="0" applyNumberFormat="1" applyFont="1" applyBorder="1" applyAlignment="1" applyProtection="1">
      <alignment horizontal="center" vertical="center"/>
      <protection locked="0"/>
    </xf>
    <xf numFmtId="3" fontId="16" fillId="0" borderId="23" xfId="0" applyNumberFormat="1" applyFont="1" applyBorder="1" applyAlignment="1" applyProtection="1">
      <alignment horizontal="center" vertical="center"/>
      <protection locked="0"/>
    </xf>
    <xf numFmtId="165" fontId="16" fillId="15" borderId="37" xfId="2" applyNumberFormat="1" applyFont="1" applyFill="1" applyBorder="1" applyAlignment="1" applyProtection="1">
      <alignment vertical="center"/>
    </xf>
    <xf numFmtId="0" fontId="15" fillId="0" borderId="10" xfId="0" applyFont="1" applyBorder="1" applyAlignment="1" applyProtection="1">
      <alignment horizontal="left" vertical="top" wrapText="1"/>
      <protection locked="0"/>
    </xf>
    <xf numFmtId="0" fontId="16" fillId="3" borderId="6" xfId="0" applyFont="1" applyFill="1" applyBorder="1" applyProtection="1">
      <protection locked="0"/>
    </xf>
    <xf numFmtId="0" fontId="16" fillId="3" borderId="24" xfId="0" applyFont="1" applyFill="1" applyBorder="1" applyProtection="1">
      <protection locked="0"/>
    </xf>
    <xf numFmtId="0" fontId="16" fillId="3" borderId="12" xfId="0" applyFont="1" applyFill="1" applyBorder="1" applyProtection="1">
      <protection locked="0"/>
    </xf>
    <xf numFmtId="0" fontId="16" fillId="4" borderId="0" xfId="0" applyFont="1" applyFill="1" applyProtection="1">
      <protection locked="0"/>
    </xf>
    <xf numFmtId="0" fontId="12" fillId="6" borderId="19" xfId="3" applyFont="1" applyFill="1" applyBorder="1" applyAlignment="1">
      <alignment horizontal="center" vertical="center" wrapText="1"/>
    </xf>
    <xf numFmtId="3" fontId="16" fillId="0" borderId="47" xfId="0" applyNumberFormat="1" applyFont="1" applyBorder="1" applyAlignment="1" applyProtection="1">
      <alignment horizontal="center" vertical="center"/>
      <protection locked="0"/>
    </xf>
    <xf numFmtId="3" fontId="16" fillId="0" borderId="27" xfId="0" applyNumberFormat="1" applyFont="1" applyBorder="1" applyAlignment="1" applyProtection="1">
      <alignment horizontal="center" vertical="center"/>
      <protection locked="0"/>
    </xf>
    <xf numFmtId="3" fontId="16" fillId="0" borderId="44" xfId="0" applyNumberFormat="1" applyFont="1" applyBorder="1" applyAlignment="1" applyProtection="1">
      <alignment horizontal="center" vertical="center"/>
      <protection locked="0"/>
    </xf>
    <xf numFmtId="3" fontId="15" fillId="15" borderId="37" xfId="0" applyNumberFormat="1" applyFont="1" applyFill="1" applyBorder="1" applyAlignment="1">
      <alignment horizontal="center" vertical="center"/>
    </xf>
    <xf numFmtId="0" fontId="16" fillId="4" borderId="0" xfId="0" applyFont="1" applyFill="1" applyAlignment="1" applyProtection="1">
      <alignment horizontal="center" vertical="center"/>
      <protection locked="0"/>
    </xf>
    <xf numFmtId="165" fontId="16" fillId="15" borderId="34" xfId="2" applyNumberFormat="1" applyFont="1" applyFill="1" applyBorder="1" applyAlignment="1" applyProtection="1">
      <alignment vertical="center"/>
    </xf>
    <xf numFmtId="9" fontId="16" fillId="15" borderId="5" xfId="6" applyFont="1" applyFill="1" applyBorder="1" applyAlignment="1" applyProtection="1">
      <alignment vertical="center"/>
    </xf>
    <xf numFmtId="165" fontId="16" fillId="15" borderId="45" xfId="2" applyNumberFormat="1" applyFont="1" applyFill="1" applyBorder="1" applyAlignment="1" applyProtection="1">
      <alignment vertical="center"/>
    </xf>
    <xf numFmtId="165" fontId="16" fillId="15" borderId="31" xfId="2" applyNumberFormat="1" applyFont="1" applyFill="1" applyBorder="1" applyAlignment="1" applyProtection="1">
      <alignment vertical="center"/>
    </xf>
    <xf numFmtId="0" fontId="15" fillId="3" borderId="0" xfId="4" applyFont="1" applyFill="1" applyAlignment="1" applyProtection="1">
      <alignment horizontal="center" vertical="center" wrapText="1"/>
      <protection locked="0"/>
    </xf>
    <xf numFmtId="0" fontId="16" fillId="3" borderId="0" xfId="4" applyFont="1" applyFill="1" applyAlignment="1" applyProtection="1">
      <alignment horizontal="left" vertical="center"/>
      <protection locked="0"/>
    </xf>
    <xf numFmtId="9" fontId="16" fillId="15" borderId="3" xfId="6" applyFont="1" applyFill="1" applyBorder="1" applyAlignment="1" applyProtection="1">
      <alignment vertical="center"/>
    </xf>
    <xf numFmtId="0" fontId="16" fillId="3" borderId="1" xfId="0" applyFont="1" applyFill="1" applyBorder="1" applyProtection="1">
      <protection locked="0"/>
    </xf>
    <xf numFmtId="0" fontId="15" fillId="3" borderId="61" xfId="0" applyFont="1" applyFill="1" applyBorder="1" applyAlignment="1" applyProtection="1">
      <alignment vertical="center"/>
      <protection locked="0"/>
    </xf>
    <xf numFmtId="2" fontId="16" fillId="3" borderId="61" xfId="0" applyNumberFormat="1" applyFont="1" applyFill="1" applyBorder="1" applyAlignment="1" applyProtection="1">
      <alignment horizontal="right"/>
      <protection locked="0"/>
    </xf>
    <xf numFmtId="0" fontId="16" fillId="3" borderId="61" xfId="0" applyFont="1" applyFill="1" applyBorder="1" applyProtection="1">
      <protection locked="0"/>
    </xf>
    <xf numFmtId="0" fontId="16" fillId="3" borderId="61" xfId="0" applyFont="1" applyFill="1" applyBorder="1" applyAlignment="1" applyProtection="1">
      <alignment horizontal="center"/>
      <protection locked="0"/>
    </xf>
    <xf numFmtId="0" fontId="16" fillId="3" borderId="62" xfId="0" applyFont="1" applyFill="1" applyBorder="1" applyProtection="1">
      <protection locked="0"/>
    </xf>
    <xf numFmtId="0" fontId="15" fillId="3" borderId="2" xfId="0" applyFont="1" applyFill="1" applyBorder="1" applyProtection="1">
      <protection locked="0"/>
    </xf>
    <xf numFmtId="0" fontId="15" fillId="3" borderId="4" xfId="0" applyFont="1" applyFill="1" applyBorder="1" applyProtection="1">
      <protection locked="0"/>
    </xf>
    <xf numFmtId="0" fontId="15" fillId="0" borderId="0" xfId="0" applyFont="1" applyProtection="1">
      <protection locked="0"/>
    </xf>
    <xf numFmtId="0" fontId="15" fillId="0" borderId="8" xfId="10" applyFont="1" applyBorder="1" applyAlignment="1" applyProtection="1">
      <alignment horizontal="left" vertical="center" wrapText="1"/>
      <protection locked="0"/>
    </xf>
    <xf numFmtId="0" fontId="15" fillId="7" borderId="40" xfId="10" applyFont="1" applyFill="1" applyBorder="1" applyAlignment="1" applyProtection="1">
      <alignment horizontal="center" vertical="center" wrapText="1"/>
      <protection locked="0"/>
    </xf>
    <xf numFmtId="0" fontId="16" fillId="0" borderId="17" xfId="10" applyFont="1" applyBorder="1" applyAlignment="1" applyProtection="1">
      <alignment horizontal="left" vertical="top" wrapText="1"/>
      <protection locked="0"/>
    </xf>
    <xf numFmtId="0" fontId="15" fillId="0" borderId="10" xfId="10" applyFont="1" applyBorder="1" applyAlignment="1" applyProtection="1">
      <alignment horizontal="left" vertical="center" wrapText="1"/>
      <protection locked="0"/>
    </xf>
    <xf numFmtId="0" fontId="15" fillId="0" borderId="17" xfId="10" applyFont="1" applyBorder="1" applyAlignment="1" applyProtection="1">
      <alignment horizontal="left" vertical="center" wrapText="1"/>
      <protection locked="0"/>
    </xf>
    <xf numFmtId="0" fontId="16" fillId="0" borderId="10" xfId="10" applyFont="1" applyBorder="1" applyAlignment="1" applyProtection="1">
      <alignment horizontal="left" vertical="top" wrapText="1"/>
      <protection locked="0"/>
    </xf>
    <xf numFmtId="0" fontId="16" fillId="0" borderId="32" xfId="10" applyFont="1" applyBorder="1" applyAlignment="1" applyProtection="1">
      <alignment horizontal="left" vertical="top" wrapText="1"/>
      <protection locked="0"/>
    </xf>
    <xf numFmtId="9" fontId="15" fillId="15" borderId="44" xfId="0" applyNumberFormat="1" applyFont="1" applyFill="1" applyBorder="1" applyAlignment="1">
      <alignment horizontal="center" vertical="center"/>
    </xf>
    <xf numFmtId="3" fontId="15" fillId="15" borderId="27" xfId="0" applyNumberFormat="1" applyFont="1" applyFill="1" applyBorder="1" applyAlignment="1">
      <alignment horizontal="center" vertical="center"/>
    </xf>
    <xf numFmtId="0" fontId="16" fillId="0" borderId="42" xfId="10" applyFont="1" applyBorder="1" applyAlignment="1" applyProtection="1">
      <alignment horizontal="left" vertical="top" wrapText="1"/>
      <protection locked="0"/>
    </xf>
    <xf numFmtId="0" fontId="22" fillId="0" borderId="8" xfId="10" applyFont="1" applyBorder="1" applyAlignment="1" applyProtection="1">
      <alignment horizontal="left" vertical="top" wrapText="1"/>
      <protection locked="0"/>
    </xf>
    <xf numFmtId="0" fontId="22" fillId="0" borderId="29" xfId="10" applyFont="1" applyBorder="1" applyAlignment="1" applyProtection="1">
      <alignment horizontal="left" vertical="top" wrapText="1"/>
      <protection locked="0"/>
    </xf>
    <xf numFmtId="170" fontId="15" fillId="0" borderId="34" xfId="0" applyNumberFormat="1" applyFont="1" applyBorder="1" applyAlignment="1" applyProtection="1">
      <alignment horizontal="center" vertical="center" wrapText="1"/>
      <protection locked="0"/>
    </xf>
    <xf numFmtId="169" fontId="6" fillId="0" borderId="9" xfId="0" applyNumberFormat="1" applyFont="1" applyBorder="1" applyAlignment="1" applyProtection="1">
      <alignment horizontal="center" vertical="center" wrapText="1"/>
      <protection locked="0"/>
    </xf>
    <xf numFmtId="0" fontId="16" fillId="0" borderId="10" xfId="0" applyFont="1" applyBorder="1" applyAlignment="1" applyProtection="1">
      <alignment horizontal="left" vertical="top" wrapText="1"/>
      <protection locked="0"/>
    </xf>
    <xf numFmtId="0" fontId="15" fillId="0" borderId="17" xfId="0" applyFont="1" applyBorder="1" applyAlignment="1" applyProtection="1">
      <alignment horizontal="left" vertical="top" wrapText="1"/>
      <protection locked="0"/>
    </xf>
    <xf numFmtId="0" fontId="15" fillId="0" borderId="11" xfId="0" applyFont="1" applyBorder="1" applyAlignment="1" applyProtection="1">
      <alignment horizontal="left" vertical="top" wrapText="1"/>
      <protection locked="0"/>
    </xf>
    <xf numFmtId="3" fontId="9" fillId="0" borderId="56" xfId="0" applyNumberFormat="1" applyFont="1" applyBorder="1" applyAlignment="1">
      <alignment horizontal="right" vertical="center" wrapText="1" indent="1"/>
    </xf>
    <xf numFmtId="3" fontId="9" fillId="0" borderId="32" xfId="0" applyNumberFormat="1" applyFont="1" applyBorder="1" applyAlignment="1">
      <alignment horizontal="right" vertical="center" wrapText="1" indent="1"/>
    </xf>
    <xf numFmtId="3" fontId="9" fillId="0" borderId="42" xfId="0" applyNumberFormat="1" applyFont="1" applyBorder="1" applyAlignment="1">
      <alignment horizontal="right" vertical="center" wrapText="1" indent="1"/>
    </xf>
    <xf numFmtId="3" fontId="15" fillId="0" borderId="66" xfId="0" applyNumberFormat="1" applyFont="1" applyBorder="1" applyAlignment="1" applyProtection="1">
      <alignment horizontal="center" vertical="center"/>
      <protection locked="0"/>
    </xf>
    <xf numFmtId="9" fontId="15" fillId="15" borderId="3" xfId="0" applyNumberFormat="1" applyFont="1" applyFill="1" applyBorder="1" applyAlignment="1">
      <alignment horizontal="center" vertical="center"/>
    </xf>
    <xf numFmtId="0" fontId="16" fillId="0" borderId="8" xfId="0" applyFont="1" applyBorder="1" applyAlignment="1" applyProtection="1">
      <alignment horizontal="left" vertical="top" wrapText="1"/>
      <protection locked="0"/>
    </xf>
    <xf numFmtId="0" fontId="15" fillId="0" borderId="9" xfId="0" applyFont="1" applyBorder="1" applyAlignment="1" applyProtection="1">
      <alignment horizontal="left" vertical="top" wrapText="1"/>
      <protection locked="0"/>
    </xf>
    <xf numFmtId="0" fontId="15" fillId="0" borderId="16" xfId="0" applyFont="1" applyBorder="1" applyAlignment="1" applyProtection="1">
      <alignment horizontal="left" vertical="top" wrapText="1"/>
      <protection locked="0"/>
    </xf>
    <xf numFmtId="3" fontId="16" fillId="0" borderId="20" xfId="0" applyNumberFormat="1" applyFont="1" applyBorder="1" applyAlignment="1" applyProtection="1">
      <alignment horizontal="center" vertical="center"/>
      <protection locked="0"/>
    </xf>
    <xf numFmtId="167" fontId="12" fillId="6" borderId="49" xfId="3" applyNumberFormat="1" applyFont="1" applyFill="1" applyBorder="1" applyAlignment="1">
      <alignment horizontal="center" vertical="center"/>
    </xf>
    <xf numFmtId="168" fontId="12" fillId="6" borderId="52" xfId="3" applyNumberFormat="1" applyFont="1" applyFill="1" applyBorder="1" applyAlignment="1">
      <alignment horizontal="center" vertical="center"/>
    </xf>
    <xf numFmtId="0" fontId="15" fillId="7" borderId="43" xfId="0" applyFont="1" applyFill="1" applyBorder="1" applyAlignment="1" applyProtection="1">
      <alignment horizontal="center" vertical="center" wrapText="1"/>
      <protection locked="0"/>
    </xf>
    <xf numFmtId="0" fontId="12" fillId="8" borderId="48" xfId="3" applyFont="1" applyFill="1" applyBorder="1" applyAlignment="1">
      <alignment horizontal="center" vertical="center" wrapText="1"/>
    </xf>
    <xf numFmtId="0" fontId="18" fillId="0" borderId="8" xfId="0" applyFont="1" applyBorder="1" applyAlignment="1" applyProtection="1">
      <alignment vertical="center" wrapText="1"/>
      <protection locked="0"/>
    </xf>
    <xf numFmtId="0" fontId="15" fillId="4" borderId="1" xfId="0" applyFont="1" applyFill="1" applyBorder="1" applyAlignment="1" applyProtection="1">
      <alignment horizontal="center" vertical="center" wrapText="1"/>
      <protection locked="0"/>
    </xf>
    <xf numFmtId="0" fontId="6" fillId="3" borderId="0" xfId="0" applyFont="1" applyFill="1" applyProtection="1">
      <protection locked="0"/>
    </xf>
    <xf numFmtId="9" fontId="29" fillId="15" borderId="37" xfId="6" applyFont="1" applyFill="1" applyBorder="1" applyAlignment="1" applyProtection="1">
      <alignment horizontal="center" vertical="center"/>
    </xf>
    <xf numFmtId="9" fontId="29" fillId="15" borderId="60" xfId="6" applyFont="1" applyFill="1" applyBorder="1" applyAlignment="1" applyProtection="1">
      <alignment horizontal="center" vertical="center"/>
    </xf>
    <xf numFmtId="9" fontId="29" fillId="15" borderId="3" xfId="6" applyFont="1" applyFill="1" applyBorder="1" applyAlignment="1" applyProtection="1">
      <alignment horizontal="center" vertical="center"/>
    </xf>
    <xf numFmtId="0" fontId="16" fillId="0" borderId="22" xfId="0" applyFont="1" applyBorder="1" applyAlignment="1" applyProtection="1">
      <alignment vertical="center"/>
      <protection locked="0"/>
    </xf>
    <xf numFmtId="9" fontId="30" fillId="15" borderId="34" xfId="6" applyFont="1" applyFill="1" applyBorder="1" applyAlignment="1" applyProtection="1">
      <alignment horizontal="center" vertical="center"/>
    </xf>
    <xf numFmtId="0" fontId="16" fillId="0" borderId="23" xfId="0" applyFont="1" applyBorder="1" applyAlignment="1" applyProtection="1">
      <alignment vertical="center"/>
      <protection locked="0"/>
    </xf>
    <xf numFmtId="9" fontId="30" fillId="15" borderId="45" xfId="6" applyFont="1" applyFill="1" applyBorder="1" applyAlignment="1" applyProtection="1">
      <alignment horizontal="center" vertical="center"/>
    </xf>
    <xf numFmtId="0" fontId="16" fillId="5" borderId="7" xfId="0" applyFont="1" applyFill="1" applyBorder="1" applyAlignment="1" applyProtection="1">
      <alignment vertical="center"/>
      <protection locked="0"/>
    </xf>
    <xf numFmtId="0" fontId="16" fillId="0" borderId="48" xfId="0" applyFont="1" applyBorder="1" applyAlignment="1" applyProtection="1">
      <alignment vertical="center"/>
      <protection locked="0"/>
    </xf>
    <xf numFmtId="165" fontId="16" fillId="15" borderId="49" xfId="2" applyNumberFormat="1" applyFont="1" applyFill="1" applyBorder="1" applyAlignment="1" applyProtection="1">
      <alignment vertical="center"/>
    </xf>
    <xf numFmtId="0" fontId="16" fillId="0" borderId="41" xfId="0" applyFont="1" applyBorder="1" applyAlignment="1" applyProtection="1">
      <alignment vertical="center"/>
      <protection locked="0"/>
    </xf>
    <xf numFmtId="9" fontId="15" fillId="15" borderId="37" xfId="0" applyNumberFormat="1" applyFont="1" applyFill="1" applyBorder="1" applyAlignment="1">
      <alignment horizontal="center" vertical="center"/>
    </xf>
    <xf numFmtId="0" fontId="16" fillId="0" borderId="20" xfId="0" applyFont="1" applyBorder="1" applyAlignment="1" applyProtection="1">
      <alignment vertical="center"/>
      <protection locked="0"/>
    </xf>
    <xf numFmtId="0" fontId="12" fillId="6" borderId="48" xfId="10" applyFont="1" applyFill="1" applyBorder="1" applyAlignment="1">
      <alignment horizontal="center" vertical="center" wrapText="1"/>
    </xf>
    <xf numFmtId="167" fontId="12" fillId="6" borderId="48" xfId="10" applyNumberFormat="1" applyFont="1" applyFill="1" applyBorder="1" applyAlignment="1">
      <alignment horizontal="center" vertical="center"/>
    </xf>
    <xf numFmtId="168" fontId="12" fillId="6" borderId="49" xfId="10" applyNumberFormat="1" applyFont="1" applyFill="1" applyBorder="1" applyAlignment="1">
      <alignment horizontal="center" vertical="center"/>
    </xf>
    <xf numFmtId="167" fontId="12" fillId="6" borderId="49" xfId="10" applyNumberFormat="1" applyFont="1" applyFill="1" applyBorder="1" applyAlignment="1">
      <alignment horizontal="center" vertical="center"/>
    </xf>
    <xf numFmtId="168" fontId="12" fillId="6" borderId="52" xfId="10" applyNumberFormat="1" applyFont="1" applyFill="1" applyBorder="1" applyAlignment="1">
      <alignment horizontal="center" vertical="center"/>
    </xf>
    <xf numFmtId="9" fontId="16" fillId="15" borderId="52" xfId="6" applyFont="1" applyFill="1" applyBorder="1" applyAlignment="1" applyProtection="1">
      <alignment vertical="center"/>
    </xf>
    <xf numFmtId="0" fontId="16" fillId="3"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protection locked="0"/>
    </xf>
    <xf numFmtId="165" fontId="16" fillId="0" borderId="33" xfId="2" applyNumberFormat="1" applyFont="1" applyFill="1" applyBorder="1" applyAlignment="1" applyProtection="1">
      <alignment vertical="center"/>
      <protection locked="0"/>
    </xf>
    <xf numFmtId="9" fontId="16" fillId="15" borderId="44" xfId="6" applyFont="1" applyFill="1" applyBorder="1" applyAlignment="1" applyProtection="1">
      <alignment vertical="center" wrapText="1"/>
    </xf>
    <xf numFmtId="0" fontId="12" fillId="6" borderId="25" xfId="10" applyFont="1" applyFill="1" applyBorder="1" applyAlignment="1">
      <alignment horizontal="center" vertical="center" wrapText="1"/>
    </xf>
    <xf numFmtId="0" fontId="12" fillId="6" borderId="60" xfId="10" applyFont="1" applyFill="1" applyBorder="1" applyAlignment="1">
      <alignment horizontal="center" vertical="center" wrapText="1"/>
    </xf>
    <xf numFmtId="0" fontId="12" fillId="6" borderId="57" xfId="10" applyFont="1" applyFill="1" applyBorder="1" applyAlignment="1">
      <alignment horizontal="center" vertical="center" wrapText="1"/>
    </xf>
    <xf numFmtId="167" fontId="12" fillId="6" borderId="25" xfId="10" applyNumberFormat="1" applyFont="1" applyFill="1" applyBorder="1" applyAlignment="1">
      <alignment horizontal="center" vertical="center"/>
    </xf>
    <xf numFmtId="168" fontId="12" fillId="6" borderId="60" xfId="10" applyNumberFormat="1" applyFont="1" applyFill="1" applyBorder="1" applyAlignment="1">
      <alignment horizontal="center" vertical="center"/>
    </xf>
    <xf numFmtId="167" fontId="12" fillId="6" borderId="60" xfId="10" applyNumberFormat="1" applyFont="1" applyFill="1" applyBorder="1" applyAlignment="1">
      <alignment horizontal="center" vertical="center"/>
    </xf>
    <xf numFmtId="168" fontId="12" fillId="6" borderId="51" xfId="10" applyNumberFormat="1" applyFont="1" applyFill="1" applyBorder="1" applyAlignment="1">
      <alignment horizontal="center" vertical="center"/>
    </xf>
    <xf numFmtId="0" fontId="12" fillId="6" borderId="65" xfId="10" applyFont="1" applyFill="1" applyBorder="1" applyAlignment="1">
      <alignment horizontal="center" vertical="center" wrapText="1"/>
    </xf>
    <xf numFmtId="2" fontId="16" fillId="0" borderId="22" xfId="0" applyNumberFormat="1" applyFont="1" applyBorder="1" applyAlignment="1" applyProtection="1">
      <alignment vertical="center"/>
      <protection locked="0"/>
    </xf>
    <xf numFmtId="165" fontId="16" fillId="15" borderId="69" xfId="2" applyNumberFormat="1" applyFont="1" applyFill="1" applyBorder="1" applyAlignment="1" applyProtection="1">
      <alignment vertical="center"/>
    </xf>
    <xf numFmtId="0" fontId="16" fillId="0" borderId="33" xfId="0" applyFont="1" applyBorder="1" applyAlignment="1" applyProtection="1">
      <alignment vertical="center"/>
      <protection locked="0"/>
    </xf>
    <xf numFmtId="2" fontId="16" fillId="0" borderId="23" xfId="0" applyNumberFormat="1" applyFont="1" applyBorder="1" applyAlignment="1" applyProtection="1">
      <alignment vertical="center"/>
      <protection locked="0"/>
    </xf>
    <xf numFmtId="9" fontId="16" fillId="15" borderId="64" xfId="6" applyFont="1" applyFill="1" applyBorder="1" applyAlignment="1" applyProtection="1">
      <alignment vertical="center"/>
    </xf>
    <xf numFmtId="0" fontId="12" fillId="4" borderId="22" xfId="10" applyFont="1" applyFill="1" applyBorder="1" applyAlignment="1">
      <alignment horizontal="center" vertical="center" wrapText="1"/>
    </xf>
    <xf numFmtId="0" fontId="12" fillId="6" borderId="52" xfId="10" applyFont="1" applyFill="1" applyBorder="1" applyAlignment="1">
      <alignment horizontal="center" vertical="center" wrapText="1"/>
    </xf>
    <xf numFmtId="165" fontId="15" fillId="0" borderId="22" xfId="2" applyNumberFormat="1" applyFont="1" applyFill="1" applyBorder="1" applyAlignment="1" applyProtection="1">
      <alignment horizontal="center" vertical="center" textRotation="75"/>
      <protection locked="0"/>
    </xf>
    <xf numFmtId="165" fontId="15" fillId="0" borderId="66" xfId="2" applyNumberFormat="1" applyFont="1" applyFill="1" applyBorder="1" applyAlignment="1" applyProtection="1">
      <alignment horizontal="center" vertical="center" textRotation="75"/>
      <protection locked="0"/>
    </xf>
    <xf numFmtId="165" fontId="15" fillId="0" borderId="23" xfId="2" applyNumberFormat="1" applyFont="1" applyFill="1" applyBorder="1" applyAlignment="1" applyProtection="1">
      <alignment horizontal="center" vertical="center" textRotation="75"/>
      <protection locked="0"/>
    </xf>
    <xf numFmtId="9" fontId="30" fillId="15" borderId="31" xfId="6" applyFont="1" applyFill="1" applyBorder="1" applyAlignment="1" applyProtection="1">
      <alignment horizontal="center" vertical="center"/>
    </xf>
    <xf numFmtId="0" fontId="16" fillId="0" borderId="67" xfId="0" applyFont="1" applyBorder="1" applyAlignment="1" applyProtection="1">
      <alignment vertical="center"/>
      <protection locked="0"/>
    </xf>
    <xf numFmtId="9" fontId="15" fillId="15" borderId="34" xfId="0" applyNumberFormat="1" applyFont="1" applyFill="1" applyBorder="1" applyAlignment="1">
      <alignment horizontal="center" vertical="center"/>
    </xf>
    <xf numFmtId="9" fontId="15" fillId="15" borderId="45" xfId="0" applyNumberFormat="1" applyFont="1" applyFill="1" applyBorder="1" applyAlignment="1">
      <alignment horizontal="center" vertical="center"/>
    </xf>
    <xf numFmtId="0" fontId="16" fillId="5" borderId="5" xfId="0" applyFont="1" applyFill="1" applyBorder="1" applyAlignment="1" applyProtection="1">
      <alignment vertical="center"/>
      <protection locked="0"/>
    </xf>
    <xf numFmtId="3" fontId="16" fillId="0" borderId="48" xfId="0" applyNumberFormat="1" applyFont="1" applyBorder="1" applyAlignment="1" applyProtection="1">
      <alignment horizontal="center" vertical="center"/>
      <protection locked="0"/>
    </xf>
    <xf numFmtId="3" fontId="16" fillId="0" borderId="67" xfId="0" applyNumberFormat="1" applyFont="1" applyBorder="1" applyAlignment="1" applyProtection="1">
      <alignment horizontal="center" vertical="center"/>
      <protection locked="0"/>
    </xf>
    <xf numFmtId="3" fontId="16" fillId="0" borderId="69" xfId="0" applyNumberFormat="1" applyFont="1" applyBorder="1" applyAlignment="1" applyProtection="1">
      <alignment horizontal="center" vertical="center"/>
      <protection locked="0"/>
    </xf>
    <xf numFmtId="3" fontId="16" fillId="0" borderId="64" xfId="0" applyNumberFormat="1" applyFont="1" applyBorder="1" applyAlignment="1" applyProtection="1">
      <alignment horizontal="center" vertical="center"/>
      <protection locked="0"/>
    </xf>
    <xf numFmtId="0" fontId="16" fillId="5" borderId="9" xfId="0" applyFont="1" applyFill="1" applyBorder="1" applyAlignment="1" applyProtection="1">
      <alignment vertical="center"/>
      <protection locked="0"/>
    </xf>
    <xf numFmtId="0" fontId="16" fillId="5" borderId="16" xfId="0" applyFont="1" applyFill="1" applyBorder="1" applyAlignment="1" applyProtection="1">
      <alignment vertical="center"/>
      <protection locked="0"/>
    </xf>
    <xf numFmtId="0" fontId="16" fillId="5" borderId="11" xfId="0" applyFont="1" applyFill="1" applyBorder="1" applyAlignment="1" applyProtection="1">
      <alignment vertical="center"/>
      <protection locked="0"/>
    </xf>
    <xf numFmtId="165" fontId="29" fillId="15" borderId="37" xfId="6" applyNumberFormat="1" applyFont="1" applyFill="1" applyBorder="1" applyAlignment="1" applyProtection="1">
      <alignment horizontal="center" vertical="center"/>
    </xf>
    <xf numFmtId="165" fontId="29" fillId="15" borderId="3" xfId="6" applyNumberFormat="1" applyFont="1" applyFill="1" applyBorder="1" applyAlignment="1" applyProtection="1">
      <alignment horizontal="center" vertical="center"/>
    </xf>
    <xf numFmtId="165" fontId="29" fillId="15" borderId="41" xfId="6" applyNumberFormat="1" applyFont="1" applyFill="1" applyBorder="1" applyAlignment="1" applyProtection="1">
      <alignment horizontal="center" vertical="center"/>
    </xf>
    <xf numFmtId="0" fontId="16" fillId="0" borderId="70" xfId="0" applyFont="1" applyBorder="1" applyAlignment="1" applyProtection="1">
      <alignment vertical="center"/>
      <protection locked="0"/>
    </xf>
    <xf numFmtId="165" fontId="16" fillId="15" borderId="71" xfId="2" applyNumberFormat="1" applyFont="1" applyFill="1" applyBorder="1" applyAlignment="1" applyProtection="1">
      <alignment vertical="center"/>
    </xf>
    <xf numFmtId="9" fontId="16" fillId="15" borderId="72" xfId="6" applyFont="1" applyFill="1" applyBorder="1" applyAlignment="1" applyProtection="1">
      <alignment vertical="center"/>
    </xf>
    <xf numFmtId="3" fontId="16" fillId="0" borderId="70" xfId="0" applyNumberFormat="1" applyFont="1" applyBorder="1" applyAlignment="1" applyProtection="1">
      <alignment horizontal="center" vertical="center"/>
      <protection locked="0"/>
    </xf>
    <xf numFmtId="3" fontId="16" fillId="0" borderId="71" xfId="0" applyNumberFormat="1" applyFont="1" applyBorder="1" applyAlignment="1" applyProtection="1">
      <alignment horizontal="center" vertical="center"/>
      <protection locked="0"/>
    </xf>
    <xf numFmtId="3" fontId="16" fillId="0" borderId="72" xfId="0" applyNumberFormat="1" applyFont="1" applyBorder="1" applyAlignment="1" applyProtection="1">
      <alignment horizontal="center" vertical="center"/>
      <protection locked="0"/>
    </xf>
    <xf numFmtId="0" fontId="16" fillId="0" borderId="34" xfId="0" applyFont="1" applyBorder="1" applyProtection="1">
      <protection locked="0"/>
    </xf>
    <xf numFmtId="0" fontId="16" fillId="0" borderId="45" xfId="0" applyFont="1" applyBorder="1" applyProtection="1">
      <protection locked="0"/>
    </xf>
    <xf numFmtId="0" fontId="15" fillId="3" borderId="0" xfId="0" applyFont="1" applyFill="1" applyProtection="1">
      <protection locked="0"/>
    </xf>
    <xf numFmtId="167" fontId="12" fillId="6" borderId="48" xfId="3" applyNumberFormat="1" applyFont="1" applyFill="1" applyBorder="1" applyAlignment="1">
      <alignment horizontal="center" vertical="center" wrapText="1"/>
    </xf>
    <xf numFmtId="0" fontId="16" fillId="0" borderId="59" xfId="0" applyFont="1" applyBorder="1" applyAlignment="1" applyProtection="1">
      <alignment vertical="center"/>
      <protection locked="0"/>
    </xf>
    <xf numFmtId="0" fontId="16" fillId="0" borderId="31" xfId="0" applyFont="1" applyBorder="1" applyProtection="1">
      <protection locked="0"/>
    </xf>
    <xf numFmtId="0" fontId="16" fillId="0" borderId="17" xfId="0" applyFont="1" applyBorder="1" applyAlignment="1" applyProtection="1">
      <alignment horizontal="left" vertical="center" wrapText="1"/>
      <protection locked="0"/>
    </xf>
    <xf numFmtId="0" fontId="16" fillId="5" borderId="10" xfId="0" applyFont="1" applyFill="1" applyBorder="1" applyProtection="1">
      <protection locked="0"/>
    </xf>
    <xf numFmtId="0" fontId="31" fillId="0" borderId="73" xfId="0" applyFont="1" applyBorder="1" applyAlignment="1" applyProtection="1">
      <alignment horizontal="center" vertical="center" wrapText="1"/>
      <protection locked="0"/>
    </xf>
    <xf numFmtId="0" fontId="5" fillId="3" borderId="61" xfId="0" applyFont="1" applyFill="1" applyBorder="1" applyAlignment="1" applyProtection="1">
      <alignment vertical="center"/>
      <protection locked="0"/>
    </xf>
    <xf numFmtId="2" fontId="4" fillId="3" borderId="61" xfId="0" applyNumberFormat="1" applyFont="1" applyFill="1" applyBorder="1" applyAlignment="1" applyProtection="1">
      <alignment horizontal="right" vertical="center"/>
      <protection locked="0"/>
    </xf>
    <xf numFmtId="0" fontId="4" fillId="3" borderId="61" xfId="0" applyFont="1" applyFill="1" applyBorder="1" applyAlignment="1" applyProtection="1">
      <alignment vertical="center"/>
      <protection locked="0"/>
    </xf>
    <xf numFmtId="0" fontId="4" fillId="3" borderId="61" xfId="0" applyFont="1" applyFill="1" applyBorder="1" applyAlignment="1" applyProtection="1">
      <alignment horizontal="center" vertical="center"/>
      <protection locked="0"/>
    </xf>
    <xf numFmtId="0" fontId="4" fillId="3" borderId="62" xfId="0" applyFont="1" applyFill="1" applyBorder="1" applyAlignment="1" applyProtection="1">
      <alignment vertical="center"/>
      <protection locked="0"/>
    </xf>
    <xf numFmtId="0" fontId="16" fillId="5" borderId="3" xfId="0" applyFont="1" applyFill="1" applyBorder="1" applyAlignment="1" applyProtection="1">
      <alignment vertical="center"/>
      <protection locked="0"/>
    </xf>
    <xf numFmtId="0" fontId="12" fillId="4" borderId="23" xfId="10" applyFont="1" applyFill="1" applyBorder="1" applyAlignment="1">
      <alignment horizontal="center" vertical="center" wrapText="1"/>
    </xf>
    <xf numFmtId="165" fontId="16" fillId="4" borderId="22" xfId="2" applyNumberFormat="1" applyFont="1" applyFill="1" applyBorder="1" applyAlignment="1" applyProtection="1">
      <alignment vertical="center"/>
      <protection locked="0"/>
    </xf>
    <xf numFmtId="165" fontId="15" fillId="0" borderId="33" xfId="2" applyNumberFormat="1" applyFont="1" applyFill="1" applyBorder="1" applyAlignment="1" applyProtection="1">
      <alignment horizontal="center" vertical="center" wrapText="1"/>
      <protection locked="0"/>
    </xf>
    <xf numFmtId="9" fontId="15" fillId="15" borderId="5" xfId="6" applyFont="1" applyFill="1" applyBorder="1" applyAlignment="1" applyProtection="1">
      <alignment vertical="center" wrapText="1"/>
    </xf>
    <xf numFmtId="0" fontId="16" fillId="5" borderId="21" xfId="0" applyFont="1" applyFill="1" applyBorder="1" applyAlignment="1" applyProtection="1">
      <alignment vertical="center"/>
      <protection locked="0"/>
    </xf>
    <xf numFmtId="0" fontId="16" fillId="5" borderId="15" xfId="0" applyFont="1" applyFill="1" applyBorder="1" applyProtection="1">
      <protection locked="0"/>
    </xf>
    <xf numFmtId="0" fontId="16" fillId="5" borderId="18" xfId="0" applyFont="1" applyFill="1" applyBorder="1" applyProtection="1">
      <protection locked="0"/>
    </xf>
    <xf numFmtId="0" fontId="16" fillId="5" borderId="8" xfId="0" applyFont="1" applyFill="1" applyBorder="1" applyProtection="1">
      <protection locked="0"/>
    </xf>
    <xf numFmtId="0" fontId="16" fillId="5" borderId="81" xfId="0" applyFont="1" applyFill="1" applyBorder="1" applyProtection="1">
      <protection locked="0"/>
    </xf>
    <xf numFmtId="49" fontId="32" fillId="0" borderId="0" xfId="0" applyNumberFormat="1" applyFont="1" applyAlignment="1">
      <alignment horizontal="center" vertical="center"/>
    </xf>
    <xf numFmtId="171" fontId="33" fillId="4" borderId="84" xfId="0" applyNumberFormat="1" applyFont="1" applyFill="1" applyBorder="1" applyAlignment="1">
      <alignment horizontal="center" vertical="center" wrapText="1"/>
    </xf>
    <xf numFmtId="3" fontId="33" fillId="4" borderId="84" xfId="0" applyNumberFormat="1" applyFont="1" applyFill="1" applyBorder="1" applyAlignment="1">
      <alignment horizontal="center" vertical="center" wrapText="1"/>
    </xf>
    <xf numFmtId="3" fontId="34" fillId="0" borderId="0" xfId="0" applyNumberFormat="1" applyFont="1" applyAlignment="1">
      <alignment horizontal="center"/>
    </xf>
    <xf numFmtId="0" fontId="34" fillId="0" borderId="0" xfId="0" applyFont="1" applyAlignment="1">
      <alignment horizontal="center"/>
    </xf>
    <xf numFmtId="0" fontId="34" fillId="0" borderId="0" xfId="0" applyFont="1" applyAlignment="1">
      <alignment horizontal="center" vertical="center"/>
    </xf>
    <xf numFmtId="0" fontId="12" fillId="6" borderId="51" xfId="10" applyFont="1" applyFill="1" applyBorder="1" applyAlignment="1">
      <alignment horizontal="center" vertical="center" wrapText="1"/>
    </xf>
    <xf numFmtId="0" fontId="12" fillId="6" borderId="35" xfId="10" applyFont="1" applyFill="1" applyBorder="1" applyAlignment="1">
      <alignment horizontal="center" vertical="center"/>
    </xf>
    <xf numFmtId="167" fontId="12" fillId="6" borderId="27" xfId="10" applyNumberFormat="1" applyFont="1" applyFill="1" applyBorder="1" applyAlignment="1">
      <alignment horizontal="center" vertical="center"/>
    </xf>
    <xf numFmtId="168" fontId="12" fillId="6" borderId="27" xfId="10" applyNumberFormat="1" applyFont="1" applyFill="1" applyBorder="1" applyAlignment="1">
      <alignment horizontal="center" vertical="center"/>
    </xf>
    <xf numFmtId="3" fontId="15" fillId="0" borderId="34" xfId="0" applyNumberFormat="1" applyFont="1" applyBorder="1" applyAlignment="1" applyProtection="1">
      <alignment horizontal="center" vertical="center"/>
      <protection locked="0"/>
    </xf>
    <xf numFmtId="9" fontId="15" fillId="4" borderId="34" xfId="0" applyNumberFormat="1" applyFont="1" applyFill="1" applyBorder="1" applyAlignment="1">
      <alignment horizontal="center" vertical="center"/>
    </xf>
    <xf numFmtId="165" fontId="12" fillId="16" borderId="34" xfId="0" applyNumberFormat="1" applyFont="1" applyFill="1" applyBorder="1" applyAlignment="1" applyProtection="1">
      <alignment horizontal="center" vertical="center"/>
      <protection locked="0"/>
    </xf>
    <xf numFmtId="165" fontId="35" fillId="0" borderId="34" xfId="2" applyNumberFormat="1" applyFont="1" applyBorder="1" applyAlignment="1">
      <alignment horizontal="center" vertical="center"/>
    </xf>
    <xf numFmtId="9" fontId="15" fillId="4" borderId="34" xfId="6" applyFont="1" applyFill="1" applyBorder="1" applyAlignment="1">
      <alignment horizontal="center" vertical="center"/>
    </xf>
    <xf numFmtId="0" fontId="37" fillId="18" borderId="31" xfId="0" applyFont="1" applyFill="1" applyBorder="1"/>
    <xf numFmtId="0" fontId="25" fillId="0" borderId="30" xfId="0" applyFont="1" applyBorder="1"/>
    <xf numFmtId="0" fontId="36" fillId="0" borderId="30" xfId="0" applyFont="1" applyBorder="1"/>
    <xf numFmtId="170" fontId="15" fillId="12" borderId="34" xfId="10" applyNumberFormat="1" applyFont="1" applyFill="1" applyBorder="1" applyAlignment="1" applyProtection="1">
      <alignment horizontal="center" vertical="center" wrapText="1"/>
      <protection locked="0"/>
    </xf>
    <xf numFmtId="0" fontId="12" fillId="6" borderId="68" xfId="10" applyFont="1" applyFill="1" applyBorder="1" applyAlignment="1">
      <alignment horizontal="center" vertical="center" wrapText="1"/>
    </xf>
    <xf numFmtId="0" fontId="12" fillId="8" borderId="68" xfId="10" applyFont="1" applyFill="1" applyBorder="1" applyAlignment="1">
      <alignment horizontal="center" vertical="center" wrapText="1"/>
    </xf>
    <xf numFmtId="167" fontId="12" fillId="6" borderId="68" xfId="10" applyNumberFormat="1" applyFont="1" applyFill="1" applyBorder="1" applyAlignment="1">
      <alignment horizontal="center" vertical="center"/>
    </xf>
    <xf numFmtId="168" fontId="12" fillId="6" borderId="68" xfId="10" applyNumberFormat="1" applyFont="1" applyFill="1" applyBorder="1" applyAlignment="1">
      <alignment horizontal="center" vertical="center"/>
    </xf>
    <xf numFmtId="3" fontId="15" fillId="0" borderId="31" xfId="0" applyNumberFormat="1" applyFont="1" applyBorder="1" applyAlignment="1" applyProtection="1">
      <alignment horizontal="center" vertical="center"/>
      <protection locked="0"/>
    </xf>
    <xf numFmtId="9" fontId="15" fillId="4" borderId="31" xfId="0" applyNumberFormat="1" applyFont="1" applyFill="1" applyBorder="1" applyAlignment="1">
      <alignment horizontal="center" vertical="center"/>
    </xf>
    <xf numFmtId="165" fontId="16" fillId="3" borderId="0" xfId="2" applyNumberFormat="1" applyFont="1" applyFill="1" applyBorder="1" applyAlignment="1" applyProtection="1">
      <alignment horizontal="center"/>
      <protection locked="0"/>
    </xf>
    <xf numFmtId="0" fontId="16" fillId="3" borderId="0" xfId="0" applyFont="1" applyFill="1" applyAlignment="1" applyProtection="1">
      <alignment horizontal="center"/>
      <protection locked="0"/>
    </xf>
    <xf numFmtId="0" fontId="16" fillId="3" borderId="24" xfId="0" applyFont="1" applyFill="1" applyBorder="1" applyAlignment="1" applyProtection="1">
      <alignment horizontal="center"/>
      <protection locked="0"/>
    </xf>
    <xf numFmtId="0" fontId="4" fillId="0" borderId="0" xfId="0" applyFont="1" applyAlignment="1" applyProtection="1">
      <alignment horizontal="center"/>
      <protection locked="0"/>
    </xf>
    <xf numFmtId="17" fontId="16" fillId="3" borderId="0" xfId="0" applyNumberFormat="1" applyFont="1" applyFill="1" applyAlignment="1" applyProtection="1">
      <alignment horizontal="center"/>
      <protection locked="0"/>
    </xf>
    <xf numFmtId="0" fontId="12" fillId="6" borderId="68" xfId="10" applyFont="1" applyFill="1" applyBorder="1" applyAlignment="1">
      <alignment horizontal="center" wrapText="1"/>
    </xf>
    <xf numFmtId="165" fontId="16" fillId="15" borderId="34" xfId="2" applyNumberFormat="1" applyFont="1" applyFill="1" applyBorder="1" applyAlignment="1" applyProtection="1">
      <alignment horizontal="center"/>
    </xf>
    <xf numFmtId="2" fontId="16" fillId="3" borderId="0" xfId="0" applyNumberFormat="1" applyFont="1" applyFill="1" applyAlignment="1" applyProtection="1">
      <alignment horizontal="center" wrapText="1"/>
      <protection locked="0"/>
    </xf>
    <xf numFmtId="0" fontId="12" fillId="6" borderId="60" xfId="10" applyFont="1" applyFill="1" applyBorder="1" applyAlignment="1">
      <alignment horizontal="center" wrapText="1"/>
    </xf>
    <xf numFmtId="165" fontId="16" fillId="15" borderId="45" xfId="2" applyNumberFormat="1" applyFont="1" applyFill="1" applyBorder="1" applyAlignment="1" applyProtection="1">
      <alignment horizontal="center"/>
    </xf>
    <xf numFmtId="165" fontId="29" fillId="15" borderId="37" xfId="6" applyNumberFormat="1" applyFont="1" applyFill="1" applyBorder="1" applyAlignment="1" applyProtection="1">
      <alignment horizontal="center"/>
    </xf>
    <xf numFmtId="0" fontId="12" fillId="6" borderId="49" xfId="10" applyFont="1" applyFill="1" applyBorder="1" applyAlignment="1">
      <alignment horizontal="center" wrapText="1"/>
    </xf>
    <xf numFmtId="165" fontId="18" fillId="15" borderId="34" xfId="2" applyNumberFormat="1" applyFont="1" applyFill="1" applyBorder="1" applyAlignment="1" applyProtection="1">
      <alignment horizontal="center" wrapText="1"/>
    </xf>
    <xf numFmtId="165" fontId="16" fillId="15" borderId="27" xfId="2" applyNumberFormat="1" applyFont="1" applyFill="1" applyBorder="1" applyAlignment="1" applyProtection="1">
      <alignment horizontal="center" wrapText="1"/>
    </xf>
    <xf numFmtId="0" fontId="39" fillId="18" borderId="31" xfId="0" applyFont="1" applyFill="1" applyBorder="1" applyAlignment="1">
      <alignment vertical="center"/>
    </xf>
    <xf numFmtId="0" fontId="39" fillId="18" borderId="30" xfId="0" applyFont="1" applyFill="1" applyBorder="1" applyAlignment="1">
      <alignment vertical="center"/>
    </xf>
    <xf numFmtId="165" fontId="29" fillId="15" borderId="31" xfId="2" applyNumberFormat="1" applyFont="1" applyFill="1" applyBorder="1" applyAlignment="1" applyProtection="1">
      <alignment horizontal="left" vertical="center"/>
    </xf>
    <xf numFmtId="165" fontId="29" fillId="15" borderId="34" xfId="2" applyNumberFormat="1" applyFont="1" applyFill="1" applyBorder="1" applyAlignment="1" applyProtection="1">
      <alignment horizontal="left" vertical="center"/>
    </xf>
    <xf numFmtId="0" fontId="12" fillId="8" borderId="46" xfId="0" applyFont="1" applyFill="1" applyBorder="1" applyAlignment="1" applyProtection="1">
      <alignment horizontal="center" vertical="center"/>
      <protection locked="0"/>
    </xf>
    <xf numFmtId="0" fontId="12" fillId="8" borderId="53" xfId="0" applyFont="1" applyFill="1" applyBorder="1" applyAlignment="1" applyProtection="1">
      <alignment horizontal="center" vertical="center"/>
      <protection locked="0"/>
    </xf>
    <xf numFmtId="0" fontId="12" fillId="8" borderId="19" xfId="0" applyFont="1" applyFill="1" applyBorder="1" applyAlignment="1" applyProtection="1">
      <alignment horizontal="center" vertical="center"/>
      <protection locked="0"/>
    </xf>
    <xf numFmtId="3" fontId="15" fillId="0" borderId="36" xfId="0" applyNumberFormat="1" applyFont="1" applyBorder="1" applyAlignment="1" applyProtection="1">
      <alignment horizontal="center" vertical="center"/>
      <protection locked="0"/>
    </xf>
    <xf numFmtId="165" fontId="16" fillId="15" borderId="37" xfId="2" applyNumberFormat="1" applyFont="1" applyFill="1" applyBorder="1" applyAlignment="1" applyProtection="1">
      <alignment horizontal="center" vertical="center"/>
    </xf>
    <xf numFmtId="9" fontId="15" fillId="4" borderId="37" xfId="0" applyNumberFormat="1" applyFont="1" applyFill="1" applyBorder="1" applyAlignment="1">
      <alignment horizontal="center" vertical="center"/>
    </xf>
    <xf numFmtId="165" fontId="12" fillId="16" borderId="5" xfId="0" applyNumberFormat="1" applyFont="1" applyFill="1" applyBorder="1" applyAlignment="1" applyProtection="1">
      <alignment horizontal="center" vertical="center"/>
      <protection locked="0"/>
    </xf>
    <xf numFmtId="3" fontId="15" fillId="0" borderId="30" xfId="0" applyNumberFormat="1" applyFont="1" applyBorder="1" applyAlignment="1" applyProtection="1">
      <alignment horizontal="center" vertical="center"/>
      <protection locked="0"/>
    </xf>
    <xf numFmtId="165" fontId="16" fillId="15" borderId="31" xfId="2" applyNumberFormat="1" applyFont="1" applyFill="1" applyBorder="1" applyAlignment="1" applyProtection="1">
      <alignment horizontal="center" vertical="center"/>
    </xf>
    <xf numFmtId="9" fontId="15" fillId="4" borderId="31" xfId="6" applyFont="1" applyFill="1" applyBorder="1" applyAlignment="1">
      <alignment horizontal="center" vertical="center"/>
    </xf>
    <xf numFmtId="165" fontId="35" fillId="16" borderId="34" xfId="2" applyNumberFormat="1" applyFont="1" applyFill="1" applyBorder="1" applyAlignment="1">
      <alignment horizontal="center" vertical="center"/>
    </xf>
    <xf numFmtId="165" fontId="35" fillId="0" borderId="5" xfId="2" applyNumberFormat="1" applyFont="1" applyBorder="1" applyAlignment="1">
      <alignment horizontal="center" vertical="center"/>
    </xf>
    <xf numFmtId="165" fontId="35" fillId="0" borderId="27" xfId="2" applyNumberFormat="1" applyFont="1" applyBorder="1" applyAlignment="1">
      <alignment horizontal="center" vertical="center"/>
    </xf>
    <xf numFmtId="165" fontId="15" fillId="15" borderId="37" xfId="2" applyNumberFormat="1" applyFont="1" applyFill="1" applyBorder="1" applyAlignment="1" applyProtection="1">
      <alignment horizontal="center" vertical="center"/>
    </xf>
    <xf numFmtId="0" fontId="16" fillId="4" borderId="54" xfId="0" applyFont="1" applyFill="1" applyBorder="1" applyAlignment="1" applyProtection="1">
      <alignment horizontal="center" vertical="top" wrapText="1"/>
      <protection locked="0"/>
    </xf>
    <xf numFmtId="0" fontId="16" fillId="17" borderId="33" xfId="0" applyFont="1" applyFill="1" applyBorder="1" applyAlignment="1">
      <alignment horizontal="left" vertical="center"/>
    </xf>
    <xf numFmtId="0" fontId="15" fillId="0" borderId="9" xfId="0" applyFont="1" applyBorder="1" applyAlignment="1" applyProtection="1">
      <alignment horizontal="center" vertical="top" wrapText="1"/>
      <protection locked="0"/>
    </xf>
    <xf numFmtId="0" fontId="38" fillId="17" borderId="33" xfId="0" applyFont="1" applyFill="1" applyBorder="1" applyAlignment="1">
      <alignment horizontal="left" vertical="center"/>
    </xf>
    <xf numFmtId="0" fontId="12" fillId="6" borderId="84" xfId="10" applyFont="1" applyFill="1" applyBorder="1" applyAlignment="1">
      <alignment horizontal="center" vertical="center" wrapText="1"/>
    </xf>
    <xf numFmtId="0" fontId="12" fillId="6" borderId="84" xfId="10" applyFont="1" applyFill="1" applyBorder="1" applyAlignment="1">
      <alignment horizontal="center" vertical="center"/>
    </xf>
    <xf numFmtId="0" fontId="15" fillId="4" borderId="47" xfId="0" applyFont="1" applyFill="1" applyBorder="1" applyAlignment="1" applyProtection="1">
      <alignment horizontal="center" vertical="center" wrapText="1"/>
      <protection locked="0"/>
    </xf>
    <xf numFmtId="3" fontId="35" fillId="0" borderId="31" xfId="0" applyNumberFormat="1" applyFont="1" applyBorder="1" applyAlignment="1" applyProtection="1">
      <alignment horizontal="center" vertical="center"/>
      <protection locked="0"/>
    </xf>
    <xf numFmtId="0" fontId="16" fillId="17" borderId="11" xfId="0" applyFont="1" applyFill="1" applyBorder="1" applyAlignment="1">
      <alignment horizontal="left" vertical="center"/>
    </xf>
    <xf numFmtId="0" fontId="15" fillId="4" borderId="54" xfId="0" applyFont="1" applyFill="1" applyBorder="1" applyAlignment="1" applyProtection="1">
      <alignment horizontal="center" vertical="top" wrapText="1"/>
      <protection locked="0"/>
    </xf>
    <xf numFmtId="3" fontId="41" fillId="0" borderId="31" xfId="6" applyNumberFormat="1" applyFont="1" applyBorder="1" applyAlignment="1" applyProtection="1">
      <alignment horizontal="center" vertical="center"/>
      <protection locked="0"/>
    </xf>
    <xf numFmtId="9" fontId="41" fillId="4" borderId="31" xfId="0" applyNumberFormat="1" applyFont="1" applyFill="1" applyBorder="1" applyAlignment="1">
      <alignment horizontal="center" vertical="center"/>
    </xf>
    <xf numFmtId="165" fontId="12" fillId="16" borderId="34" xfId="0" applyNumberFormat="1" applyFont="1" applyFill="1" applyBorder="1" applyAlignment="1" applyProtection="1">
      <alignment vertical="center"/>
      <protection locked="0"/>
    </xf>
    <xf numFmtId="0" fontId="42" fillId="17" borderId="33" xfId="0" applyFont="1" applyFill="1" applyBorder="1" applyAlignment="1">
      <alignment horizontal="left" vertical="center"/>
    </xf>
    <xf numFmtId="3" fontId="41" fillId="0" borderId="31" xfId="0" applyNumberFormat="1" applyFont="1" applyBorder="1" applyAlignment="1" applyProtection="1">
      <alignment horizontal="center" vertical="center"/>
      <protection locked="0"/>
    </xf>
    <xf numFmtId="165" fontId="15" fillId="4" borderId="31" xfId="0" applyNumberFormat="1" applyFont="1" applyFill="1" applyBorder="1" applyAlignment="1">
      <alignment horizontal="center" vertical="center"/>
    </xf>
    <xf numFmtId="165" fontId="15" fillId="16" borderId="34" xfId="0" applyNumberFormat="1" applyFont="1" applyFill="1" applyBorder="1" applyAlignment="1">
      <alignment horizontal="center" vertical="center"/>
    </xf>
    <xf numFmtId="3" fontId="41" fillId="0" borderId="34" xfId="0" applyNumberFormat="1" applyFont="1" applyBorder="1" applyAlignment="1" applyProtection="1">
      <alignment horizontal="center" vertical="center"/>
      <protection locked="0"/>
    </xf>
    <xf numFmtId="0" fontId="16" fillId="17" borderId="28" xfId="0" applyFont="1" applyFill="1" applyBorder="1" applyAlignment="1">
      <alignment horizontal="left" vertical="center"/>
    </xf>
    <xf numFmtId="0" fontId="15" fillId="0" borderId="0" xfId="0" applyFont="1" applyAlignment="1" applyProtection="1">
      <alignment horizontal="center" vertical="center"/>
      <protection locked="0"/>
    </xf>
    <xf numFmtId="0" fontId="44" fillId="17" borderId="33" xfId="0" applyFont="1" applyFill="1" applyBorder="1" applyAlignment="1">
      <alignment horizontal="left" vertical="center"/>
    </xf>
    <xf numFmtId="165" fontId="39" fillId="18" borderId="31" xfId="0" applyNumberFormat="1" applyFont="1" applyFill="1" applyBorder="1" applyAlignment="1">
      <alignment vertical="center"/>
    </xf>
    <xf numFmtId="0" fontId="29" fillId="15" borderId="37" xfId="6" applyNumberFormat="1" applyFont="1" applyFill="1" applyBorder="1" applyAlignment="1" applyProtection="1">
      <alignment horizontal="center" vertical="center"/>
    </xf>
    <xf numFmtId="165" fontId="29" fillId="15" borderId="37" xfId="6" applyNumberFormat="1" applyFont="1" applyFill="1" applyBorder="1" applyAlignment="1" applyProtection="1">
      <alignment vertical="center"/>
    </xf>
    <xf numFmtId="165" fontId="16" fillId="19" borderId="21" xfId="0" applyNumberFormat="1" applyFont="1" applyFill="1" applyBorder="1" applyAlignment="1" applyProtection="1">
      <alignment horizontal="left" vertical="center"/>
      <protection locked="0"/>
    </xf>
    <xf numFmtId="0" fontId="29" fillId="19" borderId="37" xfId="6" applyNumberFormat="1" applyFont="1" applyFill="1" applyBorder="1" applyAlignment="1" applyProtection="1">
      <alignment horizontal="center" vertical="center"/>
    </xf>
    <xf numFmtId="165" fontId="16" fillId="4" borderId="21" xfId="0" applyNumberFormat="1" applyFont="1" applyFill="1" applyBorder="1" applyAlignment="1" applyProtection="1">
      <alignment horizontal="left" vertical="center"/>
      <protection locked="0"/>
    </xf>
    <xf numFmtId="165" fontId="16" fillId="15" borderId="45" xfId="2" applyNumberFormat="1" applyFont="1" applyFill="1" applyBorder="1" applyAlignment="1" applyProtection="1">
      <alignment horizontal="center" vertical="center"/>
    </xf>
    <xf numFmtId="165" fontId="30" fillId="15" borderId="45" xfId="6" applyNumberFormat="1" applyFont="1" applyFill="1" applyBorder="1" applyAlignment="1" applyProtection="1">
      <alignment horizontal="center" vertical="center"/>
    </xf>
    <xf numFmtId="3" fontId="41" fillId="0" borderId="30" xfId="0" applyNumberFormat="1" applyFont="1" applyBorder="1" applyAlignment="1" applyProtection="1">
      <alignment horizontal="center" vertical="center"/>
      <protection locked="0"/>
    </xf>
    <xf numFmtId="9" fontId="15" fillId="4" borderId="37" xfId="0" applyNumberFormat="1" applyFont="1" applyFill="1" applyBorder="1" applyAlignment="1" applyProtection="1">
      <alignment horizontal="center" vertical="center"/>
      <protection locked="0"/>
    </xf>
    <xf numFmtId="165" fontId="15" fillId="16" borderId="34" xfId="0" applyNumberFormat="1" applyFont="1" applyFill="1" applyBorder="1" applyAlignment="1" applyProtection="1">
      <alignment horizontal="center" vertical="center"/>
      <protection locked="0"/>
    </xf>
    <xf numFmtId="0" fontId="42" fillId="17" borderId="11" xfId="0" applyFont="1" applyFill="1" applyBorder="1" applyAlignment="1" applyProtection="1">
      <alignment horizontal="left" vertical="center"/>
      <protection locked="0"/>
    </xf>
    <xf numFmtId="9" fontId="15" fillId="4" borderId="31" xfId="0" applyNumberFormat="1" applyFont="1" applyFill="1" applyBorder="1" applyAlignment="1" applyProtection="1">
      <alignment horizontal="center" vertical="center"/>
      <protection locked="0"/>
    </xf>
    <xf numFmtId="0" fontId="42" fillId="17" borderId="16" xfId="0" applyFont="1" applyFill="1" applyBorder="1" applyAlignment="1" applyProtection="1">
      <alignment horizontal="left" vertical="center"/>
      <protection locked="0"/>
    </xf>
    <xf numFmtId="3" fontId="41" fillId="0" borderId="59" xfId="0" applyNumberFormat="1" applyFont="1" applyBorder="1" applyAlignment="1" applyProtection="1">
      <alignment horizontal="center" vertical="center"/>
      <protection locked="0"/>
    </xf>
    <xf numFmtId="9" fontId="15" fillId="4" borderId="69" xfId="0" applyNumberFormat="1" applyFont="1" applyFill="1" applyBorder="1" applyAlignment="1" applyProtection="1">
      <alignment horizontal="center" vertical="center"/>
      <protection locked="0"/>
    </xf>
    <xf numFmtId="0" fontId="45" fillId="0" borderId="9" xfId="0" applyFont="1" applyBorder="1" applyAlignment="1" applyProtection="1">
      <alignment horizontal="center" vertical="top" wrapText="1"/>
      <protection locked="0"/>
    </xf>
    <xf numFmtId="165" fontId="29" fillId="0" borderId="41" xfId="6" applyNumberFormat="1" applyFont="1" applyFill="1" applyBorder="1" applyAlignment="1" applyProtection="1">
      <alignment horizontal="center" vertical="center"/>
    </xf>
    <xf numFmtId="0" fontId="12" fillId="6" borderId="49" xfId="10" applyFont="1" applyFill="1" applyBorder="1" applyAlignment="1">
      <alignment horizontal="center" vertical="center" wrapText="1"/>
    </xf>
    <xf numFmtId="0" fontId="12" fillId="6" borderId="86" xfId="10" applyFont="1" applyFill="1" applyBorder="1" applyAlignment="1">
      <alignment horizontal="center" vertical="center" wrapText="1"/>
    </xf>
    <xf numFmtId="1" fontId="16" fillId="0" borderId="36" xfId="0" applyNumberFormat="1" applyFont="1" applyBorder="1" applyAlignment="1" applyProtection="1">
      <alignment vertical="center"/>
      <protection locked="0"/>
    </xf>
    <xf numFmtId="165" fontId="16" fillId="0" borderId="47" xfId="2" applyNumberFormat="1" applyFont="1" applyFill="1" applyBorder="1" applyAlignment="1" applyProtection="1">
      <alignment vertical="center" wrapText="1"/>
      <protection locked="0"/>
    </xf>
    <xf numFmtId="165" fontId="16" fillId="0" borderId="34" xfId="2" applyNumberFormat="1" applyFont="1" applyFill="1" applyBorder="1" applyAlignment="1" applyProtection="1">
      <alignment vertical="center" wrapText="1"/>
      <protection locked="0"/>
    </xf>
    <xf numFmtId="0" fontId="15" fillId="3" borderId="0" xfId="0" applyFont="1" applyFill="1" applyAlignment="1" applyProtection="1">
      <alignment horizontal="center" vertical="center" wrapText="1"/>
      <protection locked="0"/>
    </xf>
    <xf numFmtId="0" fontId="16" fillId="3" borderId="0" xfId="0" applyFont="1" applyFill="1" applyAlignment="1" applyProtection="1">
      <alignment horizontal="left" vertical="center" indent="3"/>
      <protection locked="0"/>
    </xf>
    <xf numFmtId="9" fontId="35" fillId="20" borderId="34" xfId="6" applyFont="1" applyFill="1" applyBorder="1" applyAlignment="1">
      <alignment horizontal="center"/>
    </xf>
    <xf numFmtId="9" fontId="15" fillId="20" borderId="34" xfId="6" applyFont="1" applyFill="1" applyBorder="1" applyAlignment="1" applyProtection="1">
      <alignment horizontal="center" vertical="center"/>
    </xf>
    <xf numFmtId="0" fontId="15" fillId="17" borderId="11" xfId="0" applyFont="1" applyFill="1" applyBorder="1" applyAlignment="1">
      <alignment horizontal="left" vertical="center" wrapText="1"/>
    </xf>
    <xf numFmtId="3" fontId="43" fillId="0" borderId="36" xfId="0" applyNumberFormat="1" applyFont="1" applyBorder="1" applyAlignment="1" applyProtection="1">
      <alignment horizontal="center" vertical="center"/>
      <protection locked="0"/>
    </xf>
    <xf numFmtId="9" fontId="16" fillId="15" borderId="37" xfId="6" applyFont="1" applyFill="1" applyBorder="1" applyAlignment="1" applyProtection="1">
      <alignment horizontal="center" vertical="center"/>
    </xf>
    <xf numFmtId="165" fontId="12" fillId="16" borderId="34" xfId="0" applyNumberFormat="1" applyFont="1" applyFill="1" applyBorder="1" applyAlignment="1" applyProtection="1">
      <alignment horizontal="center" vertical="center" wrapText="1"/>
      <protection locked="0"/>
    </xf>
    <xf numFmtId="0" fontId="44" fillId="17" borderId="10" xfId="0" applyFont="1" applyFill="1" applyBorder="1" applyAlignment="1">
      <alignment horizontal="left" vertical="center"/>
    </xf>
    <xf numFmtId="3" fontId="43" fillId="0" borderId="30" xfId="0" applyNumberFormat="1" applyFont="1" applyBorder="1" applyAlignment="1" applyProtection="1">
      <alignment horizontal="center" vertical="center"/>
      <protection locked="0"/>
    </xf>
    <xf numFmtId="0" fontId="25" fillId="17" borderId="34" xfId="0" applyFont="1" applyFill="1" applyBorder="1"/>
    <xf numFmtId="3" fontId="9" fillId="0" borderId="1" xfId="0" applyNumberFormat="1" applyFont="1" applyBorder="1" applyAlignment="1">
      <alignment horizontal="left" vertical="center" wrapText="1"/>
    </xf>
    <xf numFmtId="3" fontId="9" fillId="0" borderId="61" xfId="0" applyNumberFormat="1" applyFont="1" applyBorder="1" applyAlignment="1">
      <alignment horizontal="left" vertical="center" wrapText="1"/>
    </xf>
    <xf numFmtId="3" fontId="9" fillId="0" borderId="65" xfId="0" applyNumberFormat="1" applyFont="1" applyBorder="1" applyAlignment="1">
      <alignment horizontal="left" vertical="center" wrapText="1"/>
    </xf>
    <xf numFmtId="3" fontId="9" fillId="0" borderId="2" xfId="0" applyNumberFormat="1" applyFont="1" applyBorder="1" applyAlignment="1">
      <alignment horizontal="left" vertical="center" wrapText="1"/>
    </xf>
    <xf numFmtId="3" fontId="9" fillId="0" borderId="0" xfId="0" applyNumberFormat="1" applyFont="1" applyAlignment="1">
      <alignment horizontal="left" vertical="center" wrapText="1"/>
    </xf>
    <xf numFmtId="3" fontId="9" fillId="0" borderId="54" xfId="0" applyNumberFormat="1" applyFont="1" applyBorder="1" applyAlignment="1">
      <alignment horizontal="left" vertical="center" wrapText="1"/>
    </xf>
    <xf numFmtId="3" fontId="9" fillId="0" borderId="6" xfId="0" applyNumberFormat="1" applyFont="1" applyBorder="1" applyAlignment="1">
      <alignment horizontal="left" vertical="center" wrapText="1"/>
    </xf>
    <xf numFmtId="3" fontId="9" fillId="0" borderId="24" xfId="0" applyNumberFormat="1" applyFont="1" applyBorder="1" applyAlignment="1">
      <alignment horizontal="left" vertical="center" wrapText="1"/>
    </xf>
    <xf numFmtId="3" fontId="9" fillId="0" borderId="55" xfId="0" applyNumberFormat="1" applyFont="1" applyBorder="1" applyAlignment="1">
      <alignment horizontal="left" vertical="center" wrapText="1"/>
    </xf>
    <xf numFmtId="0" fontId="8" fillId="0" borderId="1" xfId="0" applyFont="1" applyBorder="1" applyAlignment="1" applyProtection="1">
      <alignment horizontal="center" vertical="center" wrapText="1"/>
      <protection locked="0"/>
    </xf>
    <xf numFmtId="0" fontId="8" fillId="0" borderId="61" xfId="0" applyFont="1" applyBorder="1" applyAlignment="1" applyProtection="1">
      <alignment horizontal="center" vertical="center" wrapText="1"/>
      <protection locked="0"/>
    </xf>
    <xf numFmtId="0" fontId="8" fillId="0" borderId="62"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24" xfId="0" applyFont="1"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17" fontId="10" fillId="4" borderId="26" xfId="0" applyNumberFormat="1" applyFont="1" applyFill="1" applyBorder="1" applyAlignment="1" applyProtection="1">
      <alignment horizontal="center" vertical="center" wrapText="1"/>
      <protection locked="0"/>
    </xf>
    <xf numFmtId="17" fontId="10" fillId="4" borderId="39" xfId="0" applyNumberFormat="1" applyFont="1" applyFill="1" applyBorder="1" applyAlignment="1" applyProtection="1">
      <alignment horizontal="center" vertical="center" wrapText="1"/>
      <protection locked="0"/>
    </xf>
    <xf numFmtId="17" fontId="10" fillId="4" borderId="15" xfId="0" applyNumberFormat="1" applyFont="1" applyFill="1" applyBorder="1" applyAlignment="1" applyProtection="1">
      <alignment horizontal="center" vertical="center" wrapText="1"/>
      <protection locked="0"/>
    </xf>
    <xf numFmtId="0" fontId="13" fillId="8" borderId="46" xfId="0" applyFont="1" applyFill="1" applyBorder="1" applyAlignment="1" applyProtection="1">
      <alignment horizontal="center" vertical="center" wrapText="1"/>
      <protection locked="0"/>
    </xf>
    <xf numFmtId="0" fontId="13" fillId="8" borderId="53" xfId="0" applyFont="1" applyFill="1" applyBorder="1" applyAlignment="1" applyProtection="1">
      <alignment horizontal="center" vertical="center" wrapText="1"/>
      <protection locked="0"/>
    </xf>
    <xf numFmtId="0" fontId="13" fillId="8" borderId="19" xfId="0" applyFont="1" applyFill="1" applyBorder="1" applyAlignment="1" applyProtection="1">
      <alignment horizontal="center" vertical="center" wrapText="1"/>
      <protection locked="0"/>
    </xf>
    <xf numFmtId="0" fontId="12" fillId="8" borderId="46" xfId="0" applyFont="1" applyFill="1" applyBorder="1" applyAlignment="1" applyProtection="1">
      <alignment horizontal="center" vertical="center"/>
      <protection locked="0"/>
    </xf>
    <xf numFmtId="0" fontId="12" fillId="8" borderId="53" xfId="0" applyFont="1" applyFill="1" applyBorder="1" applyAlignment="1" applyProtection="1">
      <alignment horizontal="center" vertical="center"/>
      <protection locked="0"/>
    </xf>
    <xf numFmtId="0" fontId="12" fillId="8" borderId="19" xfId="0" applyFont="1" applyFill="1" applyBorder="1" applyAlignment="1" applyProtection="1">
      <alignment horizontal="center" vertical="center"/>
      <protection locked="0"/>
    </xf>
    <xf numFmtId="0" fontId="12" fillId="6" borderId="46" xfId="10" applyFont="1" applyFill="1" applyBorder="1" applyAlignment="1">
      <alignment horizontal="center" vertical="center"/>
    </xf>
    <xf numFmtId="0" fontId="12" fillId="6" borderId="53" xfId="10" applyFont="1" applyFill="1" applyBorder="1" applyAlignment="1">
      <alignment horizontal="center" vertical="center"/>
    </xf>
    <xf numFmtId="0" fontId="12" fillId="6" borderId="19" xfId="10" applyFont="1" applyFill="1" applyBorder="1" applyAlignment="1">
      <alignment horizontal="center" vertical="center"/>
    </xf>
    <xf numFmtId="0" fontId="8" fillId="0" borderId="2"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2" fillId="6" borderId="61" xfId="10" applyFont="1" applyFill="1" applyBorder="1" applyAlignment="1">
      <alignment horizontal="center" vertical="center"/>
    </xf>
    <xf numFmtId="0" fontId="12" fillId="6" borderId="62" xfId="10" applyFont="1" applyFill="1" applyBorder="1" applyAlignment="1">
      <alignment horizontal="center" vertical="center"/>
    </xf>
    <xf numFmtId="0" fontId="15" fillId="4" borderId="1" xfId="10" applyFont="1" applyFill="1" applyBorder="1" applyAlignment="1" applyProtection="1">
      <alignment horizontal="center" vertical="center" wrapText="1"/>
      <protection locked="0"/>
    </xf>
    <xf numFmtId="0" fontId="15" fillId="4" borderId="2" xfId="10" applyFont="1" applyFill="1" applyBorder="1" applyAlignment="1" applyProtection="1">
      <alignment horizontal="center" vertical="center" wrapText="1"/>
      <protection locked="0"/>
    </xf>
    <xf numFmtId="0" fontId="15" fillId="4" borderId="6" xfId="10" applyFont="1" applyFill="1" applyBorder="1" applyAlignment="1" applyProtection="1">
      <alignment horizontal="center" vertical="center" wrapText="1"/>
      <protection locked="0"/>
    </xf>
    <xf numFmtId="0" fontId="15" fillId="0" borderId="41" xfId="0" applyFont="1" applyBorder="1" applyAlignment="1" applyProtection="1">
      <alignment horizontal="left" vertical="center" wrapText="1"/>
      <protection locked="0"/>
    </xf>
    <xf numFmtId="0" fontId="15" fillId="0" borderId="38" xfId="0" applyFont="1" applyBorder="1" applyAlignment="1" applyProtection="1">
      <alignment horizontal="left" vertical="center" wrapText="1"/>
      <protection locked="0"/>
    </xf>
    <xf numFmtId="3" fontId="16" fillId="0" borderId="22" xfId="0" applyNumberFormat="1" applyFont="1" applyBorder="1" applyAlignment="1" applyProtection="1">
      <alignment horizontal="left" vertical="center" wrapText="1"/>
      <protection locked="0"/>
    </xf>
    <xf numFmtId="3" fontId="16" fillId="0" borderId="35" xfId="0" applyNumberFormat="1" applyFont="1" applyBorder="1" applyAlignment="1" applyProtection="1">
      <alignment horizontal="left" vertical="center" wrapText="1"/>
      <protection locked="0"/>
    </xf>
    <xf numFmtId="3" fontId="16" fillId="0" borderId="23" xfId="0" applyNumberFormat="1" applyFont="1" applyBorder="1" applyAlignment="1" applyProtection="1">
      <alignment horizontal="left" vertical="center"/>
      <protection locked="0"/>
    </xf>
    <xf numFmtId="3" fontId="16" fillId="0" borderId="58" xfId="0" applyNumberFormat="1" applyFont="1" applyBorder="1" applyAlignment="1" applyProtection="1">
      <alignment horizontal="left" vertical="center"/>
      <protection locked="0"/>
    </xf>
    <xf numFmtId="0" fontId="18" fillId="0" borderId="34" xfId="0" applyFont="1" applyBorder="1" applyAlignment="1" applyProtection="1">
      <alignment horizontal="center" vertical="center" wrapText="1"/>
      <protection locked="0"/>
    </xf>
    <xf numFmtId="0" fontId="15" fillId="0" borderId="34" xfId="0" applyFont="1" applyBorder="1" applyAlignment="1" applyProtection="1">
      <alignment horizontal="center" vertical="center" wrapText="1"/>
      <protection locked="0"/>
    </xf>
    <xf numFmtId="0" fontId="16" fillId="0" borderId="34" xfId="0" applyFont="1" applyBorder="1" applyAlignment="1" applyProtection="1">
      <alignment horizontal="center" vertical="center"/>
      <protection locked="0"/>
    </xf>
    <xf numFmtId="0" fontId="43" fillId="0" borderId="34" xfId="0" applyFont="1" applyBorder="1" applyAlignment="1" applyProtection="1">
      <alignment horizontal="center" vertical="center" wrapText="1"/>
      <protection locked="0"/>
    </xf>
    <xf numFmtId="0" fontId="18" fillId="0" borderId="27" xfId="0" applyFont="1" applyBorder="1" applyAlignment="1" applyProtection="1">
      <alignment horizontal="center" vertical="center" wrapText="1"/>
      <protection locked="0"/>
    </xf>
    <xf numFmtId="0" fontId="18" fillId="0" borderId="85" xfId="0" applyFont="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15" fillId="4" borderId="39" xfId="0" applyFont="1" applyFill="1" applyBorder="1" applyAlignment="1" applyProtection="1">
      <alignment horizontal="center" vertical="center" wrapText="1"/>
      <protection locked="0"/>
    </xf>
    <xf numFmtId="0" fontId="15" fillId="4" borderId="15" xfId="0" applyFont="1" applyFill="1" applyBorder="1" applyAlignment="1" applyProtection="1">
      <alignment horizontal="center" vertical="center" wrapText="1"/>
      <protection locked="0"/>
    </xf>
    <xf numFmtId="0" fontId="15" fillId="0" borderId="3" xfId="0" applyFont="1" applyBorder="1" applyAlignment="1" applyProtection="1">
      <alignment horizontal="left" vertical="center"/>
      <protection locked="0"/>
    </xf>
    <xf numFmtId="0" fontId="16" fillId="4" borderId="22" xfId="0" applyFont="1" applyFill="1" applyBorder="1" applyAlignment="1" applyProtection="1">
      <alignment horizontal="left" vertical="center"/>
      <protection locked="0"/>
    </xf>
    <xf numFmtId="0" fontId="16" fillId="4" borderId="5" xfId="0" applyFont="1" applyFill="1" applyBorder="1" applyAlignment="1" applyProtection="1">
      <alignment horizontal="left" vertical="center"/>
      <protection locked="0"/>
    </xf>
    <xf numFmtId="0" fontId="16" fillId="0" borderId="22" xfId="0" applyFont="1" applyBorder="1" applyAlignment="1" applyProtection="1">
      <alignment horizontal="left" vertical="center"/>
      <protection locked="0"/>
    </xf>
    <xf numFmtId="0" fontId="16" fillId="0" borderId="5" xfId="0" applyFont="1" applyBorder="1" applyAlignment="1" applyProtection="1">
      <alignment horizontal="left" vertical="center"/>
      <protection locked="0"/>
    </xf>
    <xf numFmtId="0" fontId="16" fillId="0" borderId="32" xfId="0" applyFont="1" applyBorder="1" applyAlignment="1" applyProtection="1">
      <alignment horizontal="left" vertical="center"/>
      <protection locked="0"/>
    </xf>
    <xf numFmtId="0" fontId="16" fillId="0" borderId="11" xfId="0" applyFont="1" applyBorder="1" applyAlignment="1" applyProtection="1">
      <alignment horizontal="left" vertical="center"/>
      <protection locked="0"/>
    </xf>
    <xf numFmtId="0" fontId="16" fillId="0" borderId="23" xfId="0" applyFont="1" applyBorder="1" applyAlignment="1" applyProtection="1">
      <alignment horizontal="left" vertical="center"/>
      <protection locked="0"/>
    </xf>
    <xf numFmtId="0" fontId="16" fillId="0" borderId="7" xfId="0" applyFont="1" applyBorder="1" applyAlignment="1" applyProtection="1">
      <alignment horizontal="left" vertical="center"/>
      <protection locked="0"/>
    </xf>
    <xf numFmtId="0" fontId="16" fillId="4" borderId="32" xfId="0" applyFont="1" applyFill="1" applyBorder="1" applyAlignment="1" applyProtection="1">
      <alignment horizontal="left" vertical="center"/>
      <protection locked="0"/>
    </xf>
    <xf numFmtId="0" fontId="16" fillId="4" borderId="11" xfId="0" applyFont="1" applyFill="1" applyBorder="1" applyAlignment="1" applyProtection="1">
      <alignment horizontal="left" vertical="center"/>
      <protection locked="0"/>
    </xf>
    <xf numFmtId="0" fontId="15" fillId="4" borderId="41" xfId="0" applyFont="1" applyFill="1" applyBorder="1" applyAlignment="1" applyProtection="1">
      <alignment horizontal="left" vertical="center"/>
      <protection locked="0"/>
    </xf>
    <xf numFmtId="0" fontId="15" fillId="4" borderId="3" xfId="0" applyFont="1" applyFill="1" applyBorder="1" applyAlignment="1" applyProtection="1">
      <alignment horizontal="left" vertical="center"/>
      <protection locked="0"/>
    </xf>
    <xf numFmtId="0" fontId="16" fillId="4" borderId="83" xfId="0" applyFont="1" applyFill="1" applyBorder="1" applyAlignment="1" applyProtection="1">
      <alignment horizontal="left" vertical="center"/>
      <protection locked="0"/>
    </xf>
    <xf numFmtId="0" fontId="16" fillId="4" borderId="14" xfId="0" applyFont="1" applyFill="1" applyBorder="1" applyAlignment="1" applyProtection="1">
      <alignment horizontal="left" vertical="center"/>
      <protection locked="0"/>
    </xf>
    <xf numFmtId="0" fontId="15" fillId="4" borderId="29" xfId="0" applyFont="1" applyFill="1" applyBorder="1" applyAlignment="1" applyProtection="1">
      <alignment horizontal="left" vertical="center" wrapText="1"/>
      <protection locked="0"/>
    </xf>
    <xf numFmtId="0" fontId="29" fillId="4" borderId="9" xfId="0" applyFont="1" applyFill="1" applyBorder="1" applyAlignment="1" applyProtection="1">
      <alignment horizontal="left" vertical="center" wrapText="1"/>
      <protection locked="0"/>
    </xf>
    <xf numFmtId="0" fontId="16" fillId="0" borderId="22" xfId="11" applyFont="1" applyBorder="1" applyAlignment="1" applyProtection="1">
      <alignment horizontal="left" vertical="center" wrapText="1"/>
      <protection locked="0"/>
    </xf>
    <xf numFmtId="0" fontId="30" fillId="0" borderId="5" xfId="11" applyFont="1" applyBorder="1" applyAlignment="1" applyProtection="1">
      <alignment horizontal="left" vertical="center" wrapText="1"/>
      <protection locked="0"/>
    </xf>
    <xf numFmtId="0" fontId="16" fillId="0" borderId="5" xfId="11" applyFont="1" applyBorder="1" applyAlignment="1" applyProtection="1">
      <alignment horizontal="left" vertical="center" wrapText="1"/>
      <protection locked="0"/>
    </xf>
    <xf numFmtId="0" fontId="30" fillId="0" borderId="22" xfId="11" applyFont="1" applyBorder="1" applyAlignment="1" applyProtection="1">
      <alignment horizontal="left" vertical="center" wrapText="1"/>
      <protection locked="0"/>
    </xf>
    <xf numFmtId="0" fontId="16" fillId="0" borderId="5" xfId="11" applyFont="1" applyBorder="1" applyAlignment="1" applyProtection="1">
      <alignment horizontal="left" vertical="center"/>
      <protection locked="0"/>
    </xf>
    <xf numFmtId="0" fontId="30" fillId="0" borderId="23" xfId="11" applyFont="1" applyBorder="1" applyAlignment="1" applyProtection="1">
      <alignment horizontal="left" vertical="center" wrapText="1"/>
      <protection locked="0"/>
    </xf>
    <xf numFmtId="0" fontId="16" fillId="0" borderId="7" xfId="11" applyFont="1" applyBorder="1" applyAlignment="1" applyProtection="1">
      <alignment horizontal="left" vertical="center" wrapText="1"/>
      <protection locked="0"/>
    </xf>
    <xf numFmtId="0" fontId="15" fillId="4" borderId="34" xfId="0" applyFont="1" applyFill="1" applyBorder="1" applyAlignment="1" applyProtection="1">
      <alignment horizontal="center" vertical="center" wrapText="1"/>
      <protection locked="0"/>
    </xf>
    <xf numFmtId="0" fontId="15" fillId="4" borderId="36" xfId="0" applyFont="1" applyFill="1" applyBorder="1" applyAlignment="1" applyProtection="1">
      <alignment horizontal="left" vertical="center" wrapText="1"/>
      <protection locked="0"/>
    </xf>
    <xf numFmtId="0" fontId="16" fillId="4" borderId="3" xfId="0" applyFont="1" applyFill="1" applyBorder="1" applyAlignment="1" applyProtection="1">
      <alignment horizontal="left" vertical="center"/>
      <protection locked="0"/>
    </xf>
    <xf numFmtId="0" fontId="16" fillId="4" borderId="33" xfId="0" applyFont="1" applyFill="1" applyBorder="1" applyAlignment="1" applyProtection="1">
      <alignment horizontal="left" vertical="center"/>
      <protection locked="0"/>
    </xf>
    <xf numFmtId="0" fontId="16" fillId="4" borderId="28" xfId="0" applyFont="1" applyFill="1" applyBorder="1" applyAlignment="1" applyProtection="1">
      <alignment horizontal="left" vertical="center"/>
      <protection locked="0"/>
    </xf>
    <xf numFmtId="0" fontId="16" fillId="4" borderId="43" xfId="0" applyFont="1" applyFill="1" applyBorder="1" applyAlignment="1" applyProtection="1">
      <alignment horizontal="left" vertical="center"/>
      <protection locked="0"/>
    </xf>
    <xf numFmtId="0" fontId="16" fillId="4" borderId="16" xfId="0" applyFont="1" applyFill="1" applyBorder="1" applyAlignment="1" applyProtection="1">
      <alignment horizontal="left" vertical="center"/>
      <protection locked="0"/>
    </xf>
    <xf numFmtId="0" fontId="16" fillId="2" borderId="23" xfId="0" applyFont="1" applyFill="1" applyBorder="1" applyAlignment="1" applyProtection="1">
      <alignment horizontal="left" vertical="center"/>
      <protection locked="0"/>
    </xf>
    <xf numFmtId="0" fontId="16" fillId="2" borderId="45" xfId="0" applyFont="1" applyFill="1" applyBorder="1" applyAlignment="1" applyProtection="1">
      <alignment horizontal="left" vertical="center"/>
      <protection locked="0"/>
    </xf>
    <xf numFmtId="0" fontId="16" fillId="2" borderId="7" xfId="0" applyFont="1" applyFill="1" applyBorder="1" applyAlignment="1" applyProtection="1">
      <alignment horizontal="left" vertical="center"/>
      <protection locked="0"/>
    </xf>
    <xf numFmtId="0" fontId="15" fillId="4" borderId="41" xfId="0" applyFont="1" applyFill="1" applyBorder="1" applyAlignment="1" applyProtection="1">
      <alignment horizontal="left" vertical="center" wrapText="1"/>
      <protection locked="0"/>
    </xf>
    <xf numFmtId="0" fontId="15" fillId="4" borderId="37" xfId="0" applyFont="1" applyFill="1" applyBorder="1" applyAlignment="1" applyProtection="1">
      <alignment horizontal="left" vertical="center" wrapText="1"/>
      <protection locked="0"/>
    </xf>
    <xf numFmtId="0" fontId="15" fillId="4" borderId="3" xfId="0" applyFont="1" applyFill="1" applyBorder="1" applyAlignment="1" applyProtection="1">
      <alignment horizontal="left" vertical="center" wrapText="1"/>
      <protection locked="0"/>
    </xf>
    <xf numFmtId="0" fontId="16" fillId="2" borderId="22" xfId="0" applyFont="1" applyFill="1" applyBorder="1" applyAlignment="1" applyProtection="1">
      <alignment horizontal="left" vertical="center"/>
      <protection locked="0"/>
    </xf>
    <xf numFmtId="0" fontId="16" fillId="2" borderId="34" xfId="0" applyFont="1" applyFill="1" applyBorder="1" applyAlignment="1" applyProtection="1">
      <alignment horizontal="left" vertical="center"/>
      <protection locked="0"/>
    </xf>
    <xf numFmtId="0" fontId="16" fillId="2" borderId="5" xfId="0" applyFont="1" applyFill="1" applyBorder="1" applyAlignment="1" applyProtection="1">
      <alignment horizontal="left" vertical="center"/>
      <protection locked="0"/>
    </xf>
    <xf numFmtId="0" fontId="8" fillId="0" borderId="4" xfId="0" applyFont="1" applyBorder="1" applyAlignment="1" applyProtection="1">
      <alignment horizontal="center" vertical="center" wrapText="1"/>
      <protection locked="0"/>
    </xf>
    <xf numFmtId="3" fontId="16" fillId="0" borderId="23" xfId="0" applyNumberFormat="1" applyFont="1" applyBorder="1" applyAlignment="1" applyProtection="1">
      <alignment horizontal="left" vertical="center" wrapText="1"/>
      <protection locked="0"/>
    </xf>
    <xf numFmtId="3" fontId="16" fillId="0" borderId="7" xfId="0" applyNumberFormat="1" applyFont="1" applyBorder="1" applyAlignment="1" applyProtection="1">
      <alignment horizontal="left" vertical="center" wrapText="1"/>
      <protection locked="0"/>
    </xf>
    <xf numFmtId="0" fontId="18" fillId="0" borderId="8" xfId="0" applyFont="1" applyBorder="1" applyAlignment="1" applyProtection="1">
      <alignment horizontal="center" vertical="center" wrapText="1"/>
      <protection locked="0"/>
    </xf>
    <xf numFmtId="0" fontId="18" fillId="0" borderId="10" xfId="0" applyFont="1" applyBorder="1" applyAlignment="1" applyProtection="1">
      <alignment horizontal="center" vertical="center" wrapText="1"/>
      <protection locked="0"/>
    </xf>
    <xf numFmtId="0" fontId="18" fillId="0" borderId="17" xfId="0" applyFont="1" applyBorder="1" applyAlignment="1" applyProtection="1">
      <alignment horizontal="center" vertical="center" wrapText="1"/>
      <protection locked="0"/>
    </xf>
    <xf numFmtId="0" fontId="18" fillId="0" borderId="26" xfId="10" applyFont="1" applyBorder="1" applyAlignment="1" applyProtection="1">
      <alignment horizontal="center" vertical="center" wrapText="1"/>
      <protection locked="0"/>
    </xf>
    <xf numFmtId="0" fontId="18" fillId="0" borderId="39" xfId="10" applyFont="1" applyBorder="1" applyAlignment="1" applyProtection="1">
      <alignment horizontal="center" vertical="center" wrapText="1"/>
      <protection locked="0"/>
    </xf>
    <xf numFmtId="0" fontId="18" fillId="0" borderId="15" xfId="10" applyFont="1" applyBorder="1" applyAlignment="1" applyProtection="1">
      <alignment horizontal="center" vertical="center" wrapText="1"/>
      <protection locked="0"/>
    </xf>
    <xf numFmtId="0" fontId="18" fillId="0" borderId="28" xfId="10" applyFont="1" applyBorder="1" applyAlignment="1" applyProtection="1">
      <alignment horizontal="center" vertical="center" wrapText="1"/>
      <protection locked="0"/>
    </xf>
    <xf numFmtId="0" fontId="18" fillId="0" borderId="43" xfId="10" applyFont="1" applyBorder="1" applyAlignment="1" applyProtection="1">
      <alignment horizontal="center" vertical="center" wrapText="1"/>
      <protection locked="0"/>
    </xf>
    <xf numFmtId="0" fontId="15" fillId="4" borderId="1" xfId="0" applyFont="1" applyFill="1" applyBorder="1" applyAlignment="1" applyProtection="1">
      <alignment horizontal="center" vertical="center" wrapText="1"/>
      <protection locked="0"/>
    </xf>
    <xf numFmtId="0" fontId="15" fillId="4" borderId="2" xfId="0" applyFont="1" applyFill="1" applyBorder="1" applyAlignment="1" applyProtection="1">
      <alignment horizontal="center" vertical="center" wrapText="1"/>
      <protection locked="0"/>
    </xf>
    <xf numFmtId="0" fontId="16" fillId="4" borderId="6" xfId="0" applyFont="1" applyFill="1" applyBorder="1" applyAlignment="1" applyProtection="1">
      <alignment horizontal="center" vertical="center" wrapText="1"/>
      <protection locked="0"/>
    </xf>
    <xf numFmtId="0" fontId="15" fillId="7" borderId="40" xfId="10" applyFont="1" applyFill="1" applyBorder="1" applyAlignment="1" applyProtection="1">
      <alignment horizontal="center" vertical="center" wrapText="1"/>
      <protection locked="0"/>
    </xf>
    <xf numFmtId="0" fontId="15" fillId="7" borderId="28" xfId="10" applyFont="1" applyFill="1" applyBorder="1" applyAlignment="1" applyProtection="1">
      <alignment horizontal="center" vertical="center" wrapText="1"/>
      <protection locked="0"/>
    </xf>
    <xf numFmtId="0" fontId="15" fillId="7" borderId="43" xfId="10" applyFont="1" applyFill="1" applyBorder="1" applyAlignment="1" applyProtection="1">
      <alignment horizontal="center" vertical="center" wrapText="1"/>
      <protection locked="0"/>
    </xf>
    <xf numFmtId="0" fontId="18" fillId="0" borderId="8" xfId="10" applyFont="1" applyBorder="1" applyAlignment="1" applyProtection="1">
      <alignment horizontal="center" vertical="center" wrapText="1"/>
      <protection locked="0"/>
    </xf>
    <xf numFmtId="0" fontId="18" fillId="0" borderId="10" xfId="10" applyFont="1" applyBorder="1" applyAlignment="1" applyProtection="1">
      <alignment horizontal="center" vertical="center" wrapText="1"/>
      <protection locked="0"/>
    </xf>
    <xf numFmtId="0" fontId="18" fillId="0" borderId="17" xfId="10" applyFont="1" applyBorder="1" applyAlignment="1" applyProtection="1">
      <alignment horizontal="center" vertical="center" wrapText="1"/>
      <protection locked="0"/>
    </xf>
    <xf numFmtId="0" fontId="18" fillId="0" borderId="63" xfId="10" applyFont="1" applyBorder="1" applyAlignment="1" applyProtection="1">
      <alignment horizontal="center" vertical="center" wrapText="1"/>
      <protection locked="0"/>
    </xf>
    <xf numFmtId="0" fontId="18" fillId="0" borderId="28" xfId="0" applyFont="1" applyBorder="1" applyAlignment="1" applyProtection="1">
      <alignment horizontal="center" vertical="center" wrapText="1"/>
      <protection locked="0"/>
    </xf>
    <xf numFmtId="0" fontId="18" fillId="0" borderId="43" xfId="0" applyFont="1" applyBorder="1" applyAlignment="1" applyProtection="1">
      <alignment horizontal="center" vertical="center" wrapText="1"/>
      <protection locked="0"/>
    </xf>
    <xf numFmtId="0" fontId="18" fillId="0" borderId="29" xfId="0" applyFont="1" applyBorder="1" applyAlignment="1" applyProtection="1">
      <alignment horizontal="center" vertical="center" wrapText="1"/>
      <protection locked="0"/>
    </xf>
    <xf numFmtId="0" fontId="18" fillId="0" borderId="32" xfId="0" applyFont="1" applyBorder="1" applyAlignment="1" applyProtection="1">
      <alignment horizontal="center" vertical="center" wrapText="1"/>
      <protection locked="0"/>
    </xf>
    <xf numFmtId="0" fontId="18" fillId="0" borderId="42" xfId="0" applyFont="1" applyBorder="1" applyAlignment="1" applyProtection="1">
      <alignment horizontal="center" vertical="center" wrapText="1"/>
      <protection locked="0"/>
    </xf>
    <xf numFmtId="3" fontId="15" fillId="0" borderId="41" xfId="0" applyNumberFormat="1" applyFont="1" applyBorder="1" applyAlignment="1" applyProtection="1">
      <alignment horizontal="left" vertical="center" wrapText="1"/>
      <protection locked="0"/>
    </xf>
    <xf numFmtId="3" fontId="15" fillId="0" borderId="3" xfId="0" applyNumberFormat="1" applyFont="1" applyBorder="1" applyAlignment="1" applyProtection="1">
      <alignment horizontal="left" vertical="center" wrapText="1"/>
      <protection locked="0"/>
    </xf>
    <xf numFmtId="3" fontId="16" fillId="0" borderId="5" xfId="0" applyNumberFormat="1" applyFont="1" applyBorder="1" applyAlignment="1" applyProtection="1">
      <alignment horizontal="left" vertical="center" wrapText="1"/>
      <protection locked="0"/>
    </xf>
    <xf numFmtId="0" fontId="11" fillId="4" borderId="41" xfId="0" applyFont="1" applyFill="1" applyBorder="1" applyAlignment="1">
      <alignment horizontal="center" vertical="center" wrapText="1"/>
    </xf>
    <xf numFmtId="0" fontId="11" fillId="4" borderId="23" xfId="0" applyFont="1" applyFill="1" applyBorder="1" applyAlignment="1">
      <alignment horizontal="center" vertical="center" wrapText="1"/>
    </xf>
    <xf numFmtId="0" fontId="16" fillId="4" borderId="37" xfId="0" applyFont="1" applyFill="1" applyBorder="1" applyAlignment="1" applyProtection="1">
      <alignment horizontal="left" vertical="center" wrapText="1"/>
      <protection locked="0"/>
    </xf>
    <xf numFmtId="0" fontId="16" fillId="4" borderId="3" xfId="0" applyFont="1" applyFill="1" applyBorder="1" applyAlignment="1" applyProtection="1">
      <alignment horizontal="left" vertical="center" wrapText="1"/>
      <protection locked="0"/>
    </xf>
    <xf numFmtId="0" fontId="16" fillId="4" borderId="45" xfId="0" applyFont="1" applyFill="1" applyBorder="1" applyAlignment="1" applyProtection="1">
      <alignment horizontal="left" vertical="center" wrapText="1"/>
      <protection locked="0"/>
    </xf>
    <xf numFmtId="0" fontId="16" fillId="4" borderId="7" xfId="0" applyFont="1" applyFill="1" applyBorder="1" applyAlignment="1" applyProtection="1">
      <alignment horizontal="left" vertical="center" wrapText="1"/>
      <protection locked="0"/>
    </xf>
    <xf numFmtId="3" fontId="30" fillId="0" borderId="22" xfId="0" applyNumberFormat="1" applyFont="1" applyBorder="1" applyAlignment="1" applyProtection="1">
      <alignment horizontal="left" vertical="center" wrapText="1"/>
      <protection locked="0"/>
    </xf>
    <xf numFmtId="3" fontId="30" fillId="0" borderId="5" xfId="0" applyNumberFormat="1" applyFont="1" applyBorder="1" applyAlignment="1" applyProtection="1">
      <alignment horizontal="left" vertical="center" wrapText="1"/>
      <protection locked="0"/>
    </xf>
    <xf numFmtId="0" fontId="16" fillId="0" borderId="46" xfId="0" applyFont="1" applyBorder="1" applyAlignment="1" applyProtection="1">
      <alignment horizontal="left" vertical="center" wrapText="1"/>
      <protection locked="0"/>
    </xf>
    <xf numFmtId="0" fontId="16" fillId="0" borderId="53" xfId="0" applyFont="1" applyBorder="1" applyAlignment="1" applyProtection="1">
      <alignment horizontal="left" vertical="center" wrapText="1"/>
      <protection locked="0"/>
    </xf>
    <xf numFmtId="0" fontId="12" fillId="8" borderId="1" xfId="0" applyFont="1" applyFill="1" applyBorder="1" applyAlignment="1" applyProtection="1">
      <alignment horizontal="center" vertical="center"/>
      <protection locked="0"/>
    </xf>
    <xf numFmtId="0" fontId="12" fillId="8" borderId="61" xfId="0" applyFont="1" applyFill="1" applyBorder="1" applyAlignment="1" applyProtection="1">
      <alignment horizontal="center" vertical="center"/>
      <protection locked="0"/>
    </xf>
    <xf numFmtId="0" fontId="12" fillId="8" borderId="62" xfId="0" applyFont="1" applyFill="1" applyBorder="1" applyAlignment="1" applyProtection="1">
      <alignment horizontal="center" vertical="center"/>
      <protection locked="0"/>
    </xf>
    <xf numFmtId="3" fontId="30" fillId="0" borderId="23" xfId="0" applyNumberFormat="1" applyFont="1" applyBorder="1" applyAlignment="1" applyProtection="1">
      <alignment horizontal="left" vertical="center" wrapText="1"/>
      <protection locked="0"/>
    </xf>
    <xf numFmtId="3" fontId="30" fillId="0" borderId="7" xfId="0" applyNumberFormat="1" applyFont="1" applyBorder="1" applyAlignment="1" applyProtection="1">
      <alignment horizontal="left" vertical="center" wrapText="1"/>
      <protection locked="0"/>
    </xf>
    <xf numFmtId="0" fontId="16" fillId="4" borderId="58" xfId="0" applyFont="1" applyFill="1" applyBorder="1" applyAlignment="1" applyProtection="1">
      <alignment horizontal="left" vertical="center" wrapText="1"/>
      <protection locked="0"/>
    </xf>
    <xf numFmtId="0" fontId="16" fillId="4" borderId="16" xfId="0" applyFont="1" applyFill="1" applyBorder="1" applyAlignment="1" applyProtection="1">
      <alignment horizontal="left" vertical="center" wrapText="1"/>
      <protection locked="0"/>
    </xf>
    <xf numFmtId="0" fontId="16" fillId="4" borderId="38" xfId="0" applyFont="1" applyFill="1" applyBorder="1" applyAlignment="1" applyProtection="1">
      <alignment horizontal="left" vertical="center" wrapText="1"/>
      <protection locked="0"/>
    </xf>
    <xf numFmtId="0" fontId="16" fillId="4" borderId="9" xfId="0" applyFont="1" applyFill="1" applyBorder="1" applyAlignment="1" applyProtection="1">
      <alignment horizontal="left" vertical="center" wrapText="1"/>
      <protection locked="0"/>
    </xf>
    <xf numFmtId="0" fontId="11" fillId="4" borderId="25" xfId="0" applyFont="1" applyFill="1" applyBorder="1" applyAlignment="1">
      <alignment horizontal="center" vertical="center" wrapText="1"/>
    </xf>
    <xf numFmtId="0" fontId="11" fillId="4" borderId="67" xfId="0" applyFont="1" applyFill="1" applyBorder="1" applyAlignment="1">
      <alignment horizontal="center" vertical="center" wrapText="1"/>
    </xf>
    <xf numFmtId="0" fontId="18" fillId="0" borderId="26" xfId="0" applyFont="1" applyBorder="1" applyAlignment="1" applyProtection="1">
      <alignment horizontal="center" vertical="center" wrapText="1"/>
      <protection locked="0"/>
    </xf>
    <xf numFmtId="0" fontId="18" fillId="0" borderId="39" xfId="0" applyFont="1" applyBorder="1" applyAlignment="1" applyProtection="1">
      <alignment horizontal="center" vertical="center" wrapText="1"/>
      <protection locked="0"/>
    </xf>
    <xf numFmtId="0" fontId="18" fillId="0" borderId="15" xfId="0" applyFont="1" applyBorder="1" applyAlignment="1" applyProtection="1">
      <alignment horizontal="center" vertical="center" wrapText="1"/>
      <protection locked="0"/>
    </xf>
    <xf numFmtId="0" fontId="18" fillId="0" borderId="63" xfId="0" applyFont="1" applyBorder="1" applyAlignment="1" applyProtection="1">
      <alignment horizontal="center" vertical="center" wrapText="1"/>
      <protection locked="0"/>
    </xf>
    <xf numFmtId="0" fontId="12" fillId="8" borderId="46"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19" xfId="0" applyFont="1" applyFill="1" applyBorder="1" applyAlignment="1" applyProtection="1">
      <alignment horizontal="center" vertical="center" wrapText="1"/>
      <protection locked="0"/>
    </xf>
    <xf numFmtId="3" fontId="30" fillId="0" borderId="78" xfId="0" applyNumberFormat="1" applyFont="1" applyBorder="1" applyAlignment="1" applyProtection="1">
      <alignment horizontal="left" vertical="center" wrapText="1"/>
      <protection locked="0"/>
    </xf>
    <xf numFmtId="3" fontId="30" fillId="0" borderId="53" xfId="0" applyNumberFormat="1" applyFont="1" applyBorder="1" applyAlignment="1" applyProtection="1">
      <alignment horizontal="left" vertical="center" wrapText="1"/>
      <protection locked="0"/>
    </xf>
    <xf numFmtId="3" fontId="30" fillId="0" borderId="29" xfId="0" applyNumberFormat="1" applyFont="1" applyBorder="1" applyAlignment="1" applyProtection="1">
      <alignment horizontal="left" vertical="center" wrapText="1"/>
      <protection locked="0"/>
    </xf>
    <xf numFmtId="3" fontId="30" fillId="0" borderId="9" xfId="0" applyNumberFormat="1" applyFont="1" applyBorder="1" applyAlignment="1" applyProtection="1">
      <alignment horizontal="left" vertical="center" wrapText="1"/>
      <protection locked="0"/>
    </xf>
    <xf numFmtId="3" fontId="30" fillId="0" borderId="42" xfId="0" applyNumberFormat="1" applyFont="1" applyBorder="1" applyAlignment="1" applyProtection="1">
      <alignment horizontal="left" vertical="center" wrapText="1"/>
      <protection locked="0"/>
    </xf>
    <xf numFmtId="3" fontId="30" fillId="0" borderId="16" xfId="0" applyNumberFormat="1" applyFont="1" applyBorder="1" applyAlignment="1" applyProtection="1">
      <alignment horizontal="left" vertical="center" wrapText="1"/>
      <protection locked="0"/>
    </xf>
    <xf numFmtId="3" fontId="29" fillId="0" borderId="29" xfId="0" applyNumberFormat="1" applyFont="1" applyBorder="1" applyAlignment="1" applyProtection="1">
      <alignment horizontal="left" vertical="center" wrapText="1"/>
      <protection locked="0"/>
    </xf>
    <xf numFmtId="3" fontId="29" fillId="0" borderId="9" xfId="0" applyNumberFormat="1" applyFont="1" applyBorder="1" applyAlignment="1" applyProtection="1">
      <alignment horizontal="left" vertical="center" wrapText="1"/>
      <protection locked="0"/>
    </xf>
    <xf numFmtId="3" fontId="30" fillId="0" borderId="32" xfId="0" applyNumberFormat="1" applyFont="1" applyBorder="1" applyAlignment="1" applyProtection="1">
      <alignment horizontal="left" vertical="center" wrapText="1"/>
      <protection locked="0"/>
    </xf>
    <xf numFmtId="3" fontId="30" fillId="0" borderId="11" xfId="0" applyNumberFormat="1" applyFont="1" applyBorder="1" applyAlignment="1" applyProtection="1">
      <alignment horizontal="left" vertical="center" wrapText="1"/>
      <protection locked="0"/>
    </xf>
    <xf numFmtId="0" fontId="31" fillId="0" borderId="74" xfId="0" applyFont="1" applyBorder="1" applyAlignment="1" applyProtection="1">
      <alignment horizontal="center" vertical="center" wrapText="1"/>
      <protection locked="0"/>
    </xf>
    <xf numFmtId="0" fontId="31" fillId="0" borderId="76" xfId="0" applyFont="1" applyBorder="1" applyAlignment="1" applyProtection="1">
      <alignment horizontal="center" vertical="center" wrapText="1"/>
      <protection locked="0"/>
    </xf>
    <xf numFmtId="0" fontId="31" fillId="0" borderId="73" xfId="0" applyFont="1" applyBorder="1" applyAlignment="1" applyProtection="1">
      <alignment horizontal="center" vertical="center" wrapText="1"/>
      <protection locked="0"/>
    </xf>
    <xf numFmtId="3" fontId="30" fillId="0" borderId="75" xfId="0" applyNumberFormat="1" applyFont="1" applyBorder="1" applyAlignment="1" applyProtection="1">
      <alignment horizontal="left" vertical="center" wrapText="1"/>
      <protection locked="0"/>
    </xf>
    <xf numFmtId="3" fontId="30" fillId="0" borderId="40" xfId="0" applyNumberFormat="1" applyFont="1" applyBorder="1" applyAlignment="1" applyProtection="1">
      <alignment horizontal="left" vertical="center" wrapText="1"/>
      <protection locked="0"/>
    </xf>
    <xf numFmtId="3" fontId="30" fillId="0" borderId="77" xfId="0" applyNumberFormat="1" applyFont="1" applyBorder="1" applyAlignment="1" applyProtection="1">
      <alignment horizontal="left" vertical="center" wrapText="1"/>
      <protection locked="0"/>
    </xf>
    <xf numFmtId="3" fontId="30" fillId="0" borderId="79" xfId="0" applyNumberFormat="1" applyFont="1" applyBorder="1" applyAlignment="1" applyProtection="1">
      <alignment horizontal="left" vertical="center" wrapText="1"/>
      <protection locked="0"/>
    </xf>
    <xf numFmtId="3" fontId="30" fillId="0" borderId="80" xfId="0" applyNumberFormat="1" applyFont="1" applyBorder="1" applyAlignment="1" applyProtection="1">
      <alignment horizontal="left" vertical="center" wrapText="1"/>
      <protection locked="0"/>
    </xf>
    <xf numFmtId="3" fontId="30" fillId="0" borderId="82" xfId="0" applyNumberFormat="1" applyFont="1" applyBorder="1" applyAlignment="1" applyProtection="1">
      <alignment horizontal="left" vertical="center" wrapText="1"/>
      <protection locked="0"/>
    </xf>
    <xf numFmtId="3" fontId="30" fillId="0" borderId="24" xfId="0" applyNumberFormat="1" applyFont="1" applyBorder="1" applyAlignment="1" applyProtection="1">
      <alignment horizontal="left" vertical="center" wrapText="1"/>
      <protection locked="0"/>
    </xf>
  </cellXfs>
  <cellStyles count="15">
    <cellStyle name="Comma" xfId="2" builtinId="3"/>
    <cellStyle name="Comma 2" xfId="1"/>
    <cellStyle name="Comma 2 2" xfId="8"/>
    <cellStyle name="Comma 2 2 2" xfId="13"/>
    <cellStyle name="Milliers 2" xfId="9"/>
    <cellStyle name="Milliers 2 2" xfId="14"/>
    <cellStyle name="Normal" xfId="0" builtinId="0"/>
    <cellStyle name="Normal 2" xfId="3"/>
    <cellStyle name="Normal 2 2" xfId="10"/>
    <cellStyle name="Normal 3" xfId="7"/>
    <cellStyle name="Normal 4" xfId="4"/>
    <cellStyle name="Normal 4 2" xfId="11"/>
    <cellStyle name="Percent" xfId="6" builtinId="5"/>
    <cellStyle name="Percent 2" xfId="5"/>
    <cellStyle name="Percent 2 2" xfId="12"/>
  </cellStyles>
  <dxfs count="284">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dxf>
    <dxf>
      <fill>
        <patternFill>
          <bgColor theme="0"/>
        </patternFill>
      </fill>
    </dxf>
  </dxfs>
  <tableStyles count="0" defaultTableStyle="TableStyleMedium2" defaultPivotStyle="PivotStyleLight16"/>
  <colors>
    <mruColors>
      <color rgb="FF57AB27"/>
      <color rgb="FF52AE32"/>
      <color rgb="FF878787"/>
      <color rgb="FF006CB6"/>
      <color rgb="FFFFFF66"/>
      <color rgb="FFEE7203"/>
      <color rgb="FFD9F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3155950</xdr:colOff>
          <xdr:row>18</xdr:row>
          <xdr:rowOff>57150</xdr:rowOff>
        </xdr:from>
        <xdr:to>
          <xdr:col>2</xdr:col>
          <xdr:colOff>3346450</xdr:colOff>
          <xdr:row>18</xdr:row>
          <xdr:rowOff>228600</xdr:rowOff>
        </xdr:to>
        <xdr:sp macro="" textlink="">
          <xdr:nvSpPr>
            <xdr:cNvPr id="58369" name="Check Box 1" hidden="1">
              <a:extLst>
                <a:ext uri="{63B3BB69-23CF-44E3-9099-C40C66FF867C}">
                  <a14:compatExt spid="_x0000_s58369"/>
                </a:ext>
                <a:ext uri="{FF2B5EF4-FFF2-40B4-BE49-F238E27FC236}">
                  <a16:creationId xmlns:a16="http://schemas.microsoft.com/office/drawing/2014/main" id="{00000000-0008-0000-0000-00000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3155950</xdr:colOff>
          <xdr:row>19</xdr:row>
          <xdr:rowOff>38100</xdr:rowOff>
        </xdr:from>
        <xdr:to>
          <xdr:col>2</xdr:col>
          <xdr:colOff>3365500</xdr:colOff>
          <xdr:row>19</xdr:row>
          <xdr:rowOff>228600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000-00000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3155950</xdr:colOff>
          <xdr:row>20</xdr:row>
          <xdr:rowOff>6350</xdr:rowOff>
        </xdr:from>
        <xdr:to>
          <xdr:col>2</xdr:col>
          <xdr:colOff>3346450</xdr:colOff>
          <xdr:row>20</xdr:row>
          <xdr:rowOff>247650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000-000003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3155950</xdr:colOff>
          <xdr:row>21</xdr:row>
          <xdr:rowOff>38100</xdr:rowOff>
        </xdr:from>
        <xdr:to>
          <xdr:col>2</xdr:col>
          <xdr:colOff>3346450</xdr:colOff>
          <xdr:row>21</xdr:row>
          <xdr:rowOff>228600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000-000004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3155950</xdr:colOff>
          <xdr:row>22</xdr:row>
          <xdr:rowOff>38100</xdr:rowOff>
        </xdr:from>
        <xdr:to>
          <xdr:col>2</xdr:col>
          <xdr:colOff>3346450</xdr:colOff>
          <xdr:row>22</xdr:row>
          <xdr:rowOff>247650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000-000005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3175000</xdr:colOff>
          <xdr:row>23</xdr:row>
          <xdr:rowOff>38100</xdr:rowOff>
        </xdr:from>
        <xdr:to>
          <xdr:col>2</xdr:col>
          <xdr:colOff>3384550</xdr:colOff>
          <xdr:row>23</xdr:row>
          <xdr:rowOff>247650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000-000006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247650</xdr:colOff>
          <xdr:row>27</xdr:row>
          <xdr:rowOff>38100</xdr:rowOff>
        </xdr:from>
        <xdr:to>
          <xdr:col>8</xdr:col>
          <xdr:colOff>438150</xdr:colOff>
          <xdr:row>27</xdr:row>
          <xdr:rowOff>336550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000-00001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247650</xdr:colOff>
          <xdr:row>28</xdr:row>
          <xdr:rowOff>38100</xdr:rowOff>
        </xdr:from>
        <xdr:to>
          <xdr:col>8</xdr:col>
          <xdr:colOff>438150</xdr:colOff>
          <xdr:row>29</xdr:row>
          <xdr:rowOff>63500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000-00001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247650</xdr:colOff>
          <xdr:row>29</xdr:row>
          <xdr:rowOff>63500</xdr:rowOff>
        </xdr:from>
        <xdr:to>
          <xdr:col>8</xdr:col>
          <xdr:colOff>438150</xdr:colOff>
          <xdr:row>29</xdr:row>
          <xdr:rowOff>374650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000-000012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323850</xdr:colOff>
      <xdr:row>0</xdr:row>
      <xdr:rowOff>0</xdr:rowOff>
    </xdr:from>
    <xdr:to>
      <xdr:col>23</xdr:col>
      <xdr:colOff>0</xdr:colOff>
      <xdr:row>0</xdr:row>
      <xdr:rowOff>0</xdr:rowOff>
    </xdr:to>
    <xdr:sp macro="" textlink="">
      <xdr:nvSpPr>
        <xdr:cNvPr id="2" name="Text Box 1">
          <a:extLst>
            <a:ext uri="{FF2B5EF4-FFF2-40B4-BE49-F238E27FC236}">
              <a16:creationId xmlns:a16="http://schemas.microsoft.com/office/drawing/2014/main" id="{00000000-0008-0000-0200-000002000000}"/>
            </a:ext>
          </a:extLst>
        </xdr:cNvPr>
        <xdr:cNvSpPr txBox="1">
          <a:spLocks noChangeArrowheads="1"/>
        </xdr:cNvSpPr>
      </xdr:nvSpPr>
      <xdr:spPr bwMode="auto">
        <a:xfrm>
          <a:off x="14890750" y="0"/>
          <a:ext cx="17272000" cy="0"/>
        </a:xfrm>
        <a:prstGeom prst="rect">
          <a:avLst/>
        </a:prstGeom>
        <a:solidFill>
          <a:srgbClr val="FFFFFF"/>
        </a:solidFill>
        <a:ln w="9525">
          <a:solidFill>
            <a:srgbClr val="000000"/>
          </a:solidFill>
          <a:miter lim="800000"/>
          <a:headEnd/>
          <a:tailEnd/>
        </a:ln>
      </xdr:spPr>
      <xdr:txBody>
        <a:bodyPr vertOverflow="clip" wrap="square" lIns="64008" tIns="50292" rIns="64008" bIns="50292" anchor="ctr" upright="1"/>
        <a:lstStyle/>
        <a:p>
          <a:pPr algn="ctr" rtl="0">
            <a:defRPr sz="1000"/>
          </a:pPr>
          <a:endParaRPr lang="fr-FR" sz="2800" b="1" i="0" u="none" strike="noStrike" baseline="0">
            <a:solidFill>
              <a:srgbClr val="000000"/>
            </a:solidFill>
            <a:latin typeface="Arial"/>
            <a:cs typeface="Arial"/>
          </a:endParaRPr>
        </a:p>
        <a:p>
          <a:pPr algn="ctr" rtl="0">
            <a:defRPr sz="1000"/>
          </a:pPr>
          <a:endParaRPr lang="fr-FR"/>
        </a:p>
      </xdr:txBody>
    </xdr:sp>
    <xdr:clientData/>
  </xdr:twoCellAnchor>
  <xdr:twoCellAnchor editAs="oneCell">
    <xdr:from>
      <xdr:col>0</xdr:col>
      <xdr:colOff>579295</xdr:colOff>
      <xdr:row>0</xdr:row>
      <xdr:rowOff>162703</xdr:rowOff>
    </xdr:from>
    <xdr:to>
      <xdr:col>1</xdr:col>
      <xdr:colOff>1964748</xdr:colOff>
      <xdr:row>4</xdr:row>
      <xdr:rowOff>21648</xdr:rowOff>
    </xdr:to>
    <xdr:pic>
      <xdr:nvPicPr>
        <xdr:cNvPr id="3" name="Picture 1">
          <a:extLst>
            <a:ext uri="{FF2B5EF4-FFF2-40B4-BE49-F238E27FC236}">
              <a16:creationId xmlns:a16="http://schemas.microsoft.com/office/drawing/2014/main" id="{00000000-0008-0000-0200-000003000000}"/>
            </a:ext>
            <a:ext uri="{147F2762-F138-4A5C-976F-8EAC2B608ADB}">
              <a16:predDERef xmlns:a16="http://schemas.microsoft.com/office/drawing/2014/main" pre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9295" y="162703"/>
          <a:ext cx="1995053" cy="141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323850</xdr:colOff>
      <xdr:row>0</xdr:row>
      <xdr:rowOff>0</xdr:rowOff>
    </xdr:from>
    <xdr:to>
      <xdr:col>20</xdr:col>
      <xdr:colOff>19050</xdr:colOff>
      <xdr:row>0</xdr:row>
      <xdr:rowOff>0</xdr:rowOff>
    </xdr:to>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13458825" y="0"/>
          <a:ext cx="6915150" cy="0"/>
        </a:xfrm>
        <a:prstGeom prst="rect">
          <a:avLst/>
        </a:prstGeom>
        <a:solidFill>
          <a:srgbClr val="FFFFFF"/>
        </a:solidFill>
        <a:ln w="9525">
          <a:solidFill>
            <a:srgbClr val="000000"/>
          </a:solidFill>
          <a:miter lim="800000"/>
          <a:headEnd/>
          <a:tailEnd/>
        </a:ln>
      </xdr:spPr>
      <xdr:txBody>
        <a:bodyPr vertOverflow="clip" wrap="square" lIns="64008" tIns="50292" rIns="64008" bIns="50292" anchor="ctr" upright="1"/>
        <a:lstStyle/>
        <a:p>
          <a:pPr algn="ctr" rtl="0">
            <a:defRPr sz="1000"/>
          </a:pPr>
          <a:endParaRPr lang="fr-FR" sz="2800" b="1" i="0" u="none" strike="noStrike" baseline="0">
            <a:solidFill>
              <a:srgbClr val="000000"/>
            </a:solidFill>
            <a:latin typeface="Arial"/>
            <a:cs typeface="Arial"/>
          </a:endParaRPr>
        </a:p>
        <a:p>
          <a:pPr algn="ctr" rtl="0">
            <a:defRPr sz="1000"/>
          </a:pPr>
          <a:endParaRPr lang="fr-FR"/>
        </a:p>
      </xdr:txBody>
    </xdr:sp>
    <xdr:clientData/>
  </xdr:twoCellAnchor>
  <xdr:twoCellAnchor editAs="oneCell">
    <xdr:from>
      <xdr:col>1</xdr:col>
      <xdr:colOff>1238250</xdr:colOff>
      <xdr:row>0</xdr:row>
      <xdr:rowOff>149678</xdr:rowOff>
    </xdr:from>
    <xdr:to>
      <xdr:col>1</xdr:col>
      <xdr:colOff>3233303</xdr:colOff>
      <xdr:row>4</xdr:row>
      <xdr:rowOff>16045</xdr:rowOff>
    </xdr:to>
    <xdr:pic>
      <xdr:nvPicPr>
        <xdr:cNvPr id="4" name="Picture 1">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46464" y="149678"/>
          <a:ext cx="1995053" cy="1417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323850</xdr:colOff>
      <xdr:row>0</xdr:row>
      <xdr:rowOff>0</xdr:rowOff>
    </xdr:from>
    <xdr:to>
      <xdr:col>19</xdr:col>
      <xdr:colOff>0</xdr:colOff>
      <xdr:row>0</xdr:row>
      <xdr:rowOff>0</xdr:rowOff>
    </xdr:to>
    <xdr:sp macro="" textlink="">
      <xdr:nvSpPr>
        <xdr:cNvPr id="2" name="Text Box 1">
          <a:extLst>
            <a:ext uri="{FF2B5EF4-FFF2-40B4-BE49-F238E27FC236}">
              <a16:creationId xmlns:a16="http://schemas.microsoft.com/office/drawing/2014/main" id="{00000000-0008-0000-0700-000002000000}"/>
            </a:ext>
          </a:extLst>
        </xdr:cNvPr>
        <xdr:cNvSpPr txBox="1">
          <a:spLocks noChangeArrowheads="1"/>
        </xdr:cNvSpPr>
      </xdr:nvSpPr>
      <xdr:spPr bwMode="auto">
        <a:xfrm>
          <a:off x="13773150" y="0"/>
          <a:ext cx="13049250" cy="0"/>
        </a:xfrm>
        <a:prstGeom prst="rect">
          <a:avLst/>
        </a:prstGeom>
        <a:solidFill>
          <a:srgbClr val="FFFFFF"/>
        </a:solidFill>
        <a:ln w="9525">
          <a:solidFill>
            <a:srgbClr val="000000"/>
          </a:solidFill>
          <a:miter lim="800000"/>
          <a:headEnd/>
          <a:tailEnd/>
        </a:ln>
      </xdr:spPr>
      <xdr:txBody>
        <a:bodyPr vertOverflow="clip" wrap="square" lIns="64008" tIns="50292" rIns="64008" bIns="50292" anchor="ctr" upright="1"/>
        <a:lstStyle/>
        <a:p>
          <a:pPr algn="ctr" rtl="0">
            <a:defRPr sz="1000"/>
          </a:pPr>
          <a:endParaRPr lang="fr-FR" sz="2800" b="1" i="0" u="none" strike="noStrike" baseline="0">
            <a:solidFill>
              <a:srgbClr val="000000"/>
            </a:solidFill>
            <a:latin typeface="Arial"/>
            <a:cs typeface="Arial"/>
          </a:endParaRPr>
        </a:p>
        <a:p>
          <a:pPr algn="ctr" rtl="0">
            <a:defRPr sz="1000"/>
          </a:pPr>
          <a:endParaRPr lang="fr-FR"/>
        </a:p>
      </xdr:txBody>
    </xdr:sp>
    <xdr:clientData/>
  </xdr:twoCellAnchor>
  <xdr:twoCellAnchor editAs="oneCell">
    <xdr:from>
      <xdr:col>1</xdr:col>
      <xdr:colOff>1023938</xdr:colOff>
      <xdr:row>0</xdr:row>
      <xdr:rowOff>71438</xdr:rowOff>
    </xdr:from>
    <xdr:to>
      <xdr:col>1</xdr:col>
      <xdr:colOff>3018991</xdr:colOff>
      <xdr:row>3</xdr:row>
      <xdr:rowOff>322206</xdr:rowOff>
    </xdr:to>
    <xdr:pic>
      <xdr:nvPicPr>
        <xdr:cNvPr id="3" name="Picture 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5738" y="71438"/>
          <a:ext cx="1995053" cy="14191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F/Documents/APRs/D56_APR%20Quantitative_FV.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dorigny/AppData/Local/Microsoft/Windows/INetCache/Content.Outlook/747YH8QH/APR%20Quantitative_ISP3%20Indicators_Revised%20by%20MHPSS%20sector%20(00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ctioncontrelafaim.sharepoint.com/Users/sgerdes/OneDrive%20-%20ACTION%20CONTRE%20LA%20FAIM/Bureau/APR_Package_EN/APR_Package_EN/03%20APR%20Quantitative_ISP3%20Indicators%20-%20ENGLIS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1 - Project Info"/>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1 - Project Inf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1 - Project Info"/>
    </sheetNames>
    <sheetDataSet>
      <sheetData sheetId="0"/>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R38"/>
  <sheetViews>
    <sheetView showGridLines="0" zoomScale="70" zoomScaleNormal="70" workbookViewId="0">
      <selection activeCell="E11" sqref="E11"/>
    </sheetView>
  </sheetViews>
  <sheetFormatPr defaultColWidth="9.26953125" defaultRowHeight="12.5"/>
  <cols>
    <col min="1" max="1" width="1.7265625" style="54" customWidth="1"/>
    <col min="2" max="2" width="49.7265625" style="54" customWidth="1"/>
    <col min="3" max="3" width="51.26953125" style="54" customWidth="1"/>
    <col min="4" max="4" width="12.26953125" style="54" customWidth="1"/>
    <col min="5" max="5" width="27.26953125" style="54" customWidth="1"/>
    <col min="6" max="12" width="8.7265625" style="54" customWidth="1"/>
    <col min="13" max="13" width="6.453125" style="54" customWidth="1"/>
    <col min="14" max="15" width="5" style="54" customWidth="1"/>
    <col min="16" max="17" width="1.26953125" style="54" customWidth="1"/>
    <col min="18" max="19" width="9.26953125" style="54" customWidth="1"/>
    <col min="20" max="16384" width="9.26953125" style="54"/>
  </cols>
  <sheetData>
    <row r="1" spans="1:18" ht="32.25" customHeight="1" thickBot="1">
      <c r="A1" s="53"/>
      <c r="B1" s="263" t="s">
        <v>0</v>
      </c>
      <c r="C1" s="264"/>
      <c r="D1" s="265"/>
      <c r="E1" s="265"/>
      <c r="F1" s="265"/>
      <c r="G1" s="266"/>
      <c r="H1" s="266"/>
      <c r="I1" s="266"/>
      <c r="J1" s="266"/>
      <c r="K1" s="266"/>
      <c r="L1" s="266"/>
      <c r="M1" s="266"/>
      <c r="N1" s="266"/>
      <c r="O1" s="266"/>
      <c r="P1" s="266"/>
      <c r="Q1" s="266"/>
      <c r="R1" s="267"/>
    </row>
    <row r="2" spans="1:18" ht="21.75" customHeight="1">
      <c r="A2" s="55"/>
      <c r="B2" s="48" t="s">
        <v>1</v>
      </c>
      <c r="C2" s="172">
        <v>45596</v>
      </c>
      <c r="D2" s="56"/>
      <c r="E2" s="399" t="s">
        <v>2</v>
      </c>
      <c r="F2" s="400"/>
      <c r="G2" s="400"/>
      <c r="H2" s="400"/>
      <c r="I2" s="400"/>
      <c r="J2" s="400"/>
      <c r="K2" s="400"/>
      <c r="L2" s="400"/>
      <c r="M2" s="400"/>
      <c r="N2" s="400"/>
      <c r="O2" s="400"/>
      <c r="P2" s="400"/>
      <c r="Q2" s="401"/>
      <c r="R2" s="57"/>
    </row>
    <row r="3" spans="1:18" s="61" customFormat="1" ht="21.75" customHeight="1" thickBot="1">
      <c r="A3" s="58"/>
      <c r="B3" s="49" t="s">
        <v>3</v>
      </c>
      <c r="C3" s="46" t="s">
        <v>4</v>
      </c>
      <c r="D3" s="59"/>
      <c r="E3" s="402"/>
      <c r="F3" s="403"/>
      <c r="G3" s="403"/>
      <c r="H3" s="403"/>
      <c r="I3" s="403"/>
      <c r="J3" s="403"/>
      <c r="K3" s="403"/>
      <c r="L3" s="403"/>
      <c r="M3" s="403"/>
      <c r="N3" s="403"/>
      <c r="O3" s="403"/>
      <c r="P3" s="403"/>
      <c r="Q3" s="404"/>
      <c r="R3" s="60"/>
    </row>
    <row r="4" spans="1:18" s="61" customFormat="1" ht="22.5" customHeight="1">
      <c r="A4" s="58"/>
      <c r="B4" s="49" t="s">
        <v>5</v>
      </c>
      <c r="C4" s="46" t="s">
        <v>6</v>
      </c>
      <c r="D4" s="59"/>
      <c r="E4" s="62"/>
      <c r="F4" s="62"/>
      <c r="G4" s="62"/>
      <c r="H4" s="62"/>
      <c r="I4" s="62"/>
      <c r="J4" s="62"/>
      <c r="K4" s="62"/>
      <c r="L4" s="62"/>
      <c r="M4" s="62"/>
      <c r="N4" s="62"/>
      <c r="O4" s="62"/>
      <c r="P4" s="62"/>
      <c r="Q4" s="62"/>
      <c r="R4" s="60"/>
    </row>
    <row r="5" spans="1:18" s="61" customFormat="1" ht="24.75" customHeight="1" thickBot="1">
      <c r="A5" s="58"/>
      <c r="B5" s="50" t="s">
        <v>7</v>
      </c>
      <c r="C5" s="47"/>
      <c r="D5" s="62"/>
      <c r="E5" s="62"/>
      <c r="F5" s="62"/>
      <c r="G5" s="62"/>
      <c r="H5" s="62"/>
      <c r="I5" s="62"/>
      <c r="J5" s="62"/>
      <c r="K5" s="62"/>
      <c r="L5" s="62"/>
      <c r="M5" s="62"/>
      <c r="N5" s="62"/>
      <c r="O5" s="62"/>
      <c r="P5" s="62"/>
      <c r="Q5" s="62"/>
      <c r="R5" s="60"/>
    </row>
    <row r="6" spans="1:18" ht="13" thickBot="1">
      <c r="A6" s="55"/>
      <c r="B6" s="55"/>
      <c r="C6" s="14"/>
      <c r="D6" s="14"/>
      <c r="E6" s="14"/>
      <c r="F6" s="14"/>
      <c r="G6" s="14"/>
      <c r="H6" s="14"/>
      <c r="I6" s="14"/>
      <c r="J6" s="14"/>
      <c r="K6" s="14"/>
      <c r="L6" s="14"/>
      <c r="M6" s="14"/>
      <c r="N6" s="14"/>
      <c r="O6" s="14"/>
      <c r="P6" s="14"/>
      <c r="Q6" s="14"/>
      <c r="R6" s="57"/>
    </row>
    <row r="7" spans="1:18" ht="13.5" customHeight="1">
      <c r="A7" s="55"/>
      <c r="B7" s="9" t="s">
        <v>8</v>
      </c>
      <c r="C7" s="32"/>
      <c r="D7" s="63"/>
      <c r="E7" s="14"/>
      <c r="F7" s="14"/>
      <c r="G7" s="14"/>
      <c r="H7" s="14"/>
      <c r="I7" s="14"/>
      <c r="J7" s="14"/>
      <c r="K7" s="14"/>
      <c r="L7" s="14"/>
      <c r="M7" s="14"/>
      <c r="N7" s="14"/>
      <c r="O7" s="14"/>
      <c r="P7" s="14"/>
      <c r="Q7" s="14"/>
      <c r="R7" s="57"/>
    </row>
    <row r="8" spans="1:18" ht="13.5" customHeight="1">
      <c r="A8" s="55"/>
      <c r="B8" s="10" t="s">
        <v>9</v>
      </c>
      <c r="C8" s="33"/>
      <c r="D8" s="63"/>
      <c r="E8" s="14"/>
      <c r="F8" s="14"/>
      <c r="G8" s="14"/>
      <c r="H8" s="14"/>
      <c r="I8" s="14"/>
      <c r="J8" s="14"/>
      <c r="K8" s="14"/>
      <c r="L8" s="14"/>
      <c r="M8" s="14"/>
      <c r="N8" s="14"/>
      <c r="O8" s="14"/>
      <c r="P8" s="14"/>
      <c r="Q8" s="14"/>
      <c r="R8" s="60"/>
    </row>
    <row r="9" spans="1:18" ht="13.5" customHeight="1">
      <c r="A9" s="55"/>
      <c r="B9" s="11" t="s">
        <v>10</v>
      </c>
      <c r="C9" s="278"/>
      <c r="D9" s="64"/>
      <c r="E9" s="14"/>
      <c r="F9" s="14"/>
      <c r="G9" s="14"/>
      <c r="H9" s="14"/>
      <c r="I9" s="14"/>
      <c r="J9" s="14"/>
      <c r="K9" s="14"/>
      <c r="L9" s="14"/>
      <c r="M9" s="14"/>
      <c r="N9" s="14"/>
      <c r="O9" s="14"/>
      <c r="P9" s="14"/>
      <c r="Q9" s="14"/>
      <c r="R9" s="14"/>
    </row>
    <row r="10" spans="1:18" ht="13.5" customHeight="1">
      <c r="A10" s="55"/>
      <c r="B10" s="11" t="s">
        <v>11</v>
      </c>
      <c r="C10" s="279"/>
      <c r="D10" s="64"/>
      <c r="E10" s="14"/>
      <c r="F10" s="14"/>
      <c r="G10" s="14"/>
      <c r="H10" s="14"/>
      <c r="I10" s="14"/>
      <c r="J10" s="14"/>
      <c r="K10" s="14"/>
      <c r="L10" s="14"/>
      <c r="M10" s="14"/>
      <c r="N10" s="14"/>
      <c r="O10" s="14"/>
      <c r="P10" s="14"/>
      <c r="Q10" s="14"/>
      <c r="R10" s="14"/>
    </row>
    <row r="11" spans="1:18" ht="13.5" customHeight="1">
      <c r="A11" s="55"/>
      <c r="B11" s="12" t="s">
        <v>12</v>
      </c>
      <c r="C11" s="280"/>
      <c r="D11" s="65"/>
      <c r="E11" s="14"/>
      <c r="F11" s="14"/>
      <c r="G11" s="14"/>
      <c r="H11" s="14"/>
      <c r="I11" s="14"/>
      <c r="J11" s="14"/>
      <c r="K11" s="14"/>
      <c r="L11" s="14"/>
      <c r="M11" s="14"/>
      <c r="N11" s="14"/>
      <c r="O11" s="14"/>
      <c r="P11" s="14"/>
      <c r="Q11" s="14"/>
      <c r="R11" s="14"/>
    </row>
    <row r="12" spans="1:18" ht="13.5" customHeight="1">
      <c r="A12" s="55"/>
      <c r="B12" s="43" t="s">
        <v>13</v>
      </c>
      <c r="C12" s="282" t="s">
        <v>14</v>
      </c>
      <c r="D12" s="65"/>
      <c r="E12" s="14"/>
      <c r="F12" s="14"/>
      <c r="G12" s="14"/>
      <c r="H12" s="14"/>
      <c r="I12" s="14"/>
      <c r="J12" s="14"/>
      <c r="K12" s="14"/>
      <c r="L12" s="14"/>
      <c r="M12" s="14"/>
      <c r="N12" s="14"/>
      <c r="O12" s="14"/>
      <c r="P12" s="14"/>
      <c r="Q12" s="14"/>
      <c r="R12" s="14"/>
    </row>
    <row r="13" spans="1:18" ht="13.5" customHeight="1">
      <c r="A13" s="55"/>
      <c r="B13" s="44" t="s">
        <v>15</v>
      </c>
      <c r="C13" s="34" t="s">
        <v>16</v>
      </c>
      <c r="D13" s="65"/>
      <c r="E13" s="14"/>
      <c r="F13" s="14"/>
      <c r="G13" s="14"/>
      <c r="H13" s="14"/>
      <c r="I13" s="14"/>
      <c r="J13" s="14"/>
      <c r="K13" s="14"/>
      <c r="L13" s="14"/>
      <c r="M13" s="14"/>
      <c r="N13" s="14"/>
      <c r="O13" s="14"/>
      <c r="P13" s="14"/>
      <c r="Q13" s="14"/>
      <c r="R13" s="14"/>
    </row>
    <row r="14" spans="1:18" ht="13.5" customHeight="1">
      <c r="A14" s="55"/>
      <c r="B14" s="72" t="s">
        <v>17</v>
      </c>
      <c r="C14" s="281" t="s">
        <v>18</v>
      </c>
      <c r="D14" s="65"/>
      <c r="E14" s="14"/>
      <c r="F14" s="14"/>
      <c r="G14" s="14"/>
      <c r="H14" s="14"/>
      <c r="I14" s="14"/>
      <c r="J14" s="14"/>
      <c r="K14" s="14"/>
      <c r="L14" s="14"/>
      <c r="M14" s="14"/>
      <c r="N14" s="14"/>
      <c r="O14" s="14"/>
      <c r="P14" s="14"/>
      <c r="Q14" s="14"/>
      <c r="R14" s="14"/>
    </row>
    <row r="15" spans="1:18" ht="13.5" customHeight="1">
      <c r="A15" s="55"/>
      <c r="B15" s="45" t="s">
        <v>19</v>
      </c>
      <c r="C15" s="283" t="s">
        <v>20</v>
      </c>
      <c r="D15" s="65"/>
      <c r="E15" s="14"/>
      <c r="F15" s="14"/>
      <c r="G15" s="14"/>
      <c r="H15" s="14"/>
      <c r="I15" s="14"/>
      <c r="J15" s="14"/>
      <c r="K15" s="14"/>
      <c r="L15" s="14"/>
      <c r="M15" s="14"/>
      <c r="N15" s="14"/>
      <c r="O15" s="14"/>
      <c r="P15" s="14"/>
      <c r="Q15" s="14"/>
      <c r="R15" s="14"/>
    </row>
    <row r="16" spans="1:18" ht="13.5" customHeight="1">
      <c r="A16" s="55"/>
      <c r="B16" s="73" t="s">
        <v>21</v>
      </c>
      <c r="C16" s="35"/>
      <c r="D16" s="65"/>
      <c r="E16" s="14"/>
      <c r="F16" s="14"/>
      <c r="G16" s="14"/>
      <c r="H16" s="14"/>
      <c r="I16" s="14"/>
      <c r="J16" s="14"/>
      <c r="K16" s="14"/>
      <c r="L16" s="14"/>
      <c r="M16" s="14"/>
      <c r="N16" s="14"/>
      <c r="O16" s="14"/>
      <c r="P16" s="14"/>
      <c r="Q16" s="14"/>
      <c r="R16" s="14"/>
    </row>
    <row r="17" spans="1:18" ht="18" customHeight="1" thickBot="1">
      <c r="A17" s="55"/>
      <c r="B17" s="15" t="s">
        <v>22</v>
      </c>
      <c r="C17" s="36" t="str">
        <f>IFERROR(DAYS360(C9,C2)/DAYS360(C9,C10),"0%")</f>
        <v>0%</v>
      </c>
      <c r="D17" s="65"/>
      <c r="E17" s="14"/>
      <c r="F17" s="14"/>
      <c r="G17" s="14"/>
      <c r="H17" s="14"/>
      <c r="I17" s="14"/>
      <c r="J17" s="14"/>
      <c r="K17" s="14"/>
      <c r="L17" s="14"/>
      <c r="M17" s="14"/>
      <c r="N17" s="14"/>
      <c r="O17" s="14"/>
      <c r="P17" s="14"/>
      <c r="Q17" s="14"/>
      <c r="R17" s="14"/>
    </row>
    <row r="18" spans="1:18" ht="24" customHeight="1" thickBot="1">
      <c r="A18" s="55"/>
      <c r="B18" s="16"/>
      <c r="C18" s="17"/>
      <c r="D18" s="65"/>
      <c r="E18" s="66"/>
      <c r="F18" s="14"/>
      <c r="G18" s="14"/>
      <c r="H18" s="14"/>
      <c r="I18" s="14"/>
      <c r="J18" s="14"/>
      <c r="K18" s="14"/>
      <c r="L18" s="14"/>
      <c r="M18" s="14"/>
      <c r="N18" s="14"/>
      <c r="O18" s="14"/>
      <c r="P18" s="14"/>
      <c r="Q18" s="14"/>
      <c r="R18" s="57"/>
    </row>
    <row r="19" spans="1:18" ht="21.75" customHeight="1">
      <c r="A19" s="55"/>
      <c r="B19" s="405" t="s">
        <v>23</v>
      </c>
      <c r="C19" s="18" t="s">
        <v>24</v>
      </c>
      <c r="D19" s="65"/>
      <c r="E19" s="14"/>
      <c r="F19" s="14"/>
      <c r="G19" s="14"/>
      <c r="H19" s="14"/>
      <c r="I19" s="14"/>
      <c r="J19" s="14"/>
      <c r="K19" s="14"/>
      <c r="L19" s="14"/>
      <c r="M19" s="14"/>
      <c r="N19" s="14"/>
      <c r="O19" s="14"/>
      <c r="P19" s="14"/>
      <c r="Q19" s="14"/>
      <c r="R19" s="57"/>
    </row>
    <row r="20" spans="1:18" ht="21.75" customHeight="1">
      <c r="A20" s="55"/>
      <c r="B20" s="406"/>
      <c r="C20" s="19" t="s">
        <v>25</v>
      </c>
      <c r="D20" s="65"/>
      <c r="E20" s="14"/>
      <c r="F20" s="14"/>
      <c r="G20" s="14"/>
      <c r="H20" s="14"/>
      <c r="I20" s="14"/>
      <c r="J20" s="14"/>
      <c r="K20" s="14"/>
      <c r="L20" s="14"/>
      <c r="M20" s="14"/>
      <c r="N20" s="14"/>
      <c r="O20" s="14"/>
      <c r="P20" s="14"/>
      <c r="Q20" s="14"/>
      <c r="R20" s="57"/>
    </row>
    <row r="21" spans="1:18" ht="21.75" customHeight="1">
      <c r="A21" s="55"/>
      <c r="B21" s="406"/>
      <c r="C21" s="19" t="s">
        <v>26</v>
      </c>
      <c r="D21" s="65"/>
      <c r="E21" s="14"/>
      <c r="F21" s="14"/>
      <c r="G21" s="14"/>
      <c r="H21" s="14"/>
      <c r="I21" s="14"/>
      <c r="J21" s="14"/>
      <c r="K21" s="14"/>
      <c r="L21" s="14"/>
      <c r="M21" s="14"/>
      <c r="N21" s="14"/>
      <c r="O21" s="14"/>
      <c r="P21" s="14"/>
      <c r="Q21" s="14"/>
      <c r="R21" s="60"/>
    </row>
    <row r="22" spans="1:18" ht="21.75" customHeight="1">
      <c r="A22" s="55"/>
      <c r="B22" s="406"/>
      <c r="C22" s="19" t="s">
        <v>27</v>
      </c>
      <c r="D22" s="65"/>
      <c r="E22" s="21"/>
      <c r="F22" s="14"/>
      <c r="G22" s="14"/>
      <c r="H22" s="14"/>
      <c r="I22" s="14"/>
      <c r="J22" s="14"/>
      <c r="K22" s="14"/>
      <c r="L22" s="14"/>
      <c r="M22" s="14"/>
      <c r="N22" s="14"/>
      <c r="O22" s="14"/>
      <c r="P22" s="14"/>
      <c r="Q22" s="14"/>
      <c r="R22" s="60"/>
    </row>
    <row r="23" spans="1:18" ht="21.75" customHeight="1">
      <c r="A23" s="55"/>
      <c r="B23" s="406"/>
      <c r="C23" s="19" t="s">
        <v>28</v>
      </c>
      <c r="D23" s="65"/>
      <c r="E23" s="21"/>
      <c r="F23" s="14"/>
      <c r="G23" s="14"/>
      <c r="H23" s="14"/>
      <c r="I23" s="14"/>
      <c r="J23" s="14"/>
      <c r="K23" s="14"/>
      <c r="L23" s="14"/>
      <c r="M23" s="14"/>
      <c r="N23" s="14"/>
      <c r="O23" s="14"/>
      <c r="P23" s="14"/>
      <c r="Q23" s="14"/>
      <c r="R23" s="60"/>
    </row>
    <row r="24" spans="1:18" ht="21.75" customHeight="1" thickBot="1">
      <c r="A24" s="55"/>
      <c r="B24" s="407"/>
      <c r="C24" s="20" t="s">
        <v>29</v>
      </c>
      <c r="D24" s="14"/>
      <c r="E24" s="14"/>
      <c r="F24" s="14"/>
      <c r="G24" s="14"/>
      <c r="H24" s="14"/>
      <c r="I24" s="14"/>
      <c r="J24" s="14"/>
      <c r="K24" s="14"/>
      <c r="L24" s="14"/>
      <c r="M24" s="14"/>
      <c r="N24" s="14"/>
      <c r="O24" s="14"/>
      <c r="P24" s="14"/>
      <c r="Q24" s="14"/>
      <c r="R24" s="57"/>
    </row>
    <row r="25" spans="1:18" ht="13.5" customHeight="1" thickBot="1">
      <c r="A25" s="55"/>
      <c r="B25" s="22"/>
      <c r="C25" s="17"/>
      <c r="D25" s="14"/>
      <c r="E25" s="14"/>
      <c r="F25" s="321" t="s">
        <v>31</v>
      </c>
      <c r="G25" s="322"/>
      <c r="H25" s="322"/>
      <c r="I25" s="14"/>
      <c r="J25" s="14"/>
      <c r="K25" s="14"/>
      <c r="L25" s="14"/>
      <c r="M25" s="14"/>
      <c r="N25" s="14"/>
      <c r="O25" s="14"/>
      <c r="P25" s="14"/>
      <c r="Q25" s="14"/>
      <c r="R25" s="57"/>
    </row>
    <row r="26" spans="1:18" ht="13" thickBot="1">
      <c r="A26" s="55"/>
      <c r="B26" s="14"/>
      <c r="C26" s="14"/>
      <c r="D26" s="14"/>
      <c r="E26" s="14"/>
      <c r="F26" s="390" t="s">
        <v>35</v>
      </c>
      <c r="G26" s="391"/>
      <c r="H26" s="392"/>
      <c r="I26" s="14"/>
      <c r="J26" s="14"/>
      <c r="K26" s="14"/>
      <c r="L26" s="14"/>
      <c r="M26" s="14"/>
      <c r="N26" s="14"/>
      <c r="O26" s="14"/>
      <c r="P26" s="14"/>
      <c r="Q26" s="14"/>
      <c r="R26" s="57"/>
    </row>
    <row r="27" spans="1:18" ht="65.25" customHeight="1" thickBot="1">
      <c r="A27" s="55"/>
      <c r="B27" s="408" t="s">
        <v>30</v>
      </c>
      <c r="C27" s="409"/>
      <c r="D27" s="410"/>
      <c r="E27" s="14"/>
      <c r="F27" s="393" t="s">
        <v>37</v>
      </c>
      <c r="G27" s="394"/>
      <c r="H27" s="395"/>
      <c r="I27" s="323"/>
      <c r="J27" s="14"/>
      <c r="K27" s="14"/>
      <c r="L27" s="14"/>
      <c r="M27" s="14"/>
      <c r="N27" s="14"/>
      <c r="O27" s="14"/>
      <c r="P27" s="14"/>
      <c r="Q27" s="14"/>
      <c r="R27" s="57"/>
    </row>
    <row r="28" spans="1:18" ht="28.5" thickBot="1">
      <c r="A28" s="55"/>
      <c r="B28" s="51" t="s">
        <v>32</v>
      </c>
      <c r="C28" s="51" t="s">
        <v>33</v>
      </c>
      <c r="D28" s="52" t="s">
        <v>34</v>
      </c>
      <c r="E28" s="14"/>
      <c r="F28" s="396" t="s">
        <v>39</v>
      </c>
      <c r="G28" s="397"/>
      <c r="H28" s="398"/>
      <c r="I28" s="67"/>
      <c r="J28" s="14"/>
      <c r="K28" s="14"/>
      <c r="L28" s="14"/>
      <c r="M28" s="14"/>
      <c r="N28" s="14"/>
      <c r="O28" s="14"/>
      <c r="P28" s="14"/>
      <c r="Q28" s="14"/>
      <c r="R28" s="57"/>
    </row>
    <row r="29" spans="1:18" ht="21.75" customHeight="1">
      <c r="A29" s="55"/>
      <c r="B29" s="176" t="s">
        <v>36</v>
      </c>
      <c r="C29" s="39"/>
      <c r="D29" s="37"/>
      <c r="E29" s="14"/>
      <c r="F29" s="14"/>
      <c r="G29" s="14"/>
      <c r="H29" s="14"/>
      <c r="I29" s="67"/>
      <c r="J29" s="14"/>
      <c r="K29" s="14"/>
      <c r="L29" s="14"/>
      <c r="M29" s="14"/>
      <c r="N29" s="14"/>
      <c r="O29" s="14"/>
      <c r="P29" s="14"/>
      <c r="Q29" s="14"/>
      <c r="R29" s="57"/>
    </row>
    <row r="30" spans="1:18" ht="42" customHeight="1" thickBot="1">
      <c r="A30" s="55"/>
      <c r="B30" s="177" t="s">
        <v>38</v>
      </c>
      <c r="C30" s="40"/>
      <c r="D30" s="34"/>
      <c r="E30" s="14"/>
      <c r="F30" s="14"/>
      <c r="G30" s="14"/>
      <c r="H30" s="14"/>
      <c r="I30" s="68"/>
      <c r="J30" s="14"/>
      <c r="K30" s="14"/>
      <c r="L30" s="14"/>
      <c r="M30" s="14"/>
      <c r="N30" s="14"/>
      <c r="O30" s="14"/>
      <c r="P30" s="14"/>
      <c r="Q30" s="14"/>
      <c r="R30" s="57"/>
    </row>
    <row r="31" spans="1:18">
      <c r="A31" s="55"/>
      <c r="B31" s="177" t="s">
        <v>40</v>
      </c>
      <c r="C31" s="40"/>
      <c r="D31" s="34"/>
      <c r="E31" s="14"/>
      <c r="F31" s="14"/>
      <c r="G31" s="14"/>
      <c r="H31" s="14"/>
      <c r="I31" s="14"/>
      <c r="J31" s="14"/>
      <c r="K31" s="14"/>
      <c r="L31" s="14"/>
      <c r="M31" s="14"/>
      <c r="N31" s="14"/>
      <c r="O31" s="14"/>
      <c r="P31" s="14"/>
      <c r="Q31" s="14"/>
      <c r="R31" s="57"/>
    </row>
    <row r="32" spans="1:18">
      <c r="A32" s="55"/>
      <c r="B32" s="177" t="s">
        <v>41</v>
      </c>
      <c r="C32" s="40"/>
      <c r="D32" s="34">
        <v>1</v>
      </c>
      <c r="E32" s="14"/>
      <c r="F32" s="14"/>
      <c r="G32" s="14"/>
      <c r="H32" s="14"/>
      <c r="I32" s="14"/>
      <c r="J32" s="14"/>
      <c r="K32" s="14"/>
      <c r="L32" s="14"/>
      <c r="M32" s="14"/>
      <c r="N32" s="14"/>
      <c r="O32" s="14"/>
      <c r="P32" s="14"/>
      <c r="Q32" s="14"/>
      <c r="R32" s="57"/>
    </row>
    <row r="33" spans="1:18" ht="23">
      <c r="A33" s="55"/>
      <c r="B33" s="177" t="s">
        <v>42</v>
      </c>
      <c r="C33" s="40"/>
      <c r="D33" s="34"/>
      <c r="E33" s="14"/>
      <c r="F33" s="14"/>
      <c r="G33" s="14"/>
      <c r="H33" s="14"/>
      <c r="I33" s="14"/>
      <c r="J33" s="14"/>
      <c r="K33" s="14"/>
      <c r="L33" s="14"/>
      <c r="M33" s="14"/>
      <c r="N33" s="14"/>
      <c r="O33" s="14"/>
      <c r="P33" s="14"/>
      <c r="Q33" s="14"/>
      <c r="R33" s="57"/>
    </row>
    <row r="34" spans="1:18">
      <c r="A34" s="55"/>
      <c r="B34" s="177" t="s">
        <v>43</v>
      </c>
      <c r="C34" s="40"/>
      <c r="D34" s="34"/>
      <c r="E34" s="14"/>
      <c r="F34" s="14"/>
      <c r="G34" s="14"/>
      <c r="H34" s="14"/>
      <c r="I34" s="14"/>
      <c r="J34" s="14"/>
      <c r="K34" s="14"/>
      <c r="L34" s="14"/>
      <c r="M34" s="14"/>
      <c r="N34" s="14"/>
      <c r="O34" s="14"/>
      <c r="P34" s="14"/>
      <c r="Q34" s="14"/>
      <c r="R34" s="57"/>
    </row>
    <row r="35" spans="1:18">
      <c r="A35" s="55"/>
      <c r="B35" s="177" t="s">
        <v>44</v>
      </c>
      <c r="C35" s="40"/>
      <c r="D35" s="34"/>
      <c r="E35" s="14"/>
      <c r="F35" s="14"/>
      <c r="G35" s="14"/>
      <c r="H35" s="14"/>
      <c r="I35" s="14"/>
      <c r="J35" s="14"/>
      <c r="K35" s="14"/>
      <c r="L35" s="14"/>
      <c r="M35" s="14"/>
      <c r="N35" s="14"/>
      <c r="O35" s="14"/>
      <c r="P35" s="14"/>
      <c r="Q35" s="14"/>
      <c r="R35" s="57"/>
    </row>
    <row r="36" spans="1:18" ht="13" thickBot="1">
      <c r="A36" s="55"/>
      <c r="B36" s="178" t="s">
        <v>45</v>
      </c>
      <c r="C36" s="41"/>
      <c r="D36" s="38"/>
      <c r="E36" s="70"/>
      <c r="F36" s="70"/>
      <c r="G36" s="70"/>
      <c r="H36" s="70"/>
      <c r="I36" s="14"/>
      <c r="J36" s="14"/>
      <c r="K36" s="14"/>
      <c r="L36" s="14"/>
      <c r="M36" s="14"/>
      <c r="N36" s="14"/>
      <c r="O36" s="14"/>
      <c r="P36" s="14"/>
      <c r="Q36" s="14"/>
      <c r="R36" s="57"/>
    </row>
    <row r="37" spans="1:18" ht="16.5" customHeight="1" thickBot="1">
      <c r="A37" s="55"/>
      <c r="B37" s="23" t="s">
        <v>46</v>
      </c>
      <c r="C37" s="23"/>
      <c r="D37" s="42">
        <f>SUM(D29:D36)</f>
        <v>1</v>
      </c>
      <c r="I37" s="14"/>
      <c r="J37" s="14"/>
      <c r="K37" s="14"/>
      <c r="L37" s="14"/>
      <c r="M37" s="14"/>
      <c r="N37" s="14"/>
      <c r="O37" s="14"/>
      <c r="P37" s="14"/>
      <c r="Q37" s="14"/>
      <c r="R37" s="57"/>
    </row>
    <row r="38" spans="1:18" ht="13" thickBot="1">
      <c r="A38" s="69"/>
      <c r="B38" s="70"/>
      <c r="C38" s="70"/>
      <c r="D38" s="70"/>
      <c r="I38" s="70"/>
      <c r="J38" s="70"/>
      <c r="K38" s="70"/>
      <c r="L38" s="70"/>
      <c r="M38" s="70"/>
      <c r="N38" s="70"/>
      <c r="O38" s="70"/>
      <c r="P38" s="70"/>
      <c r="Q38" s="70"/>
      <c r="R38" s="71"/>
    </row>
  </sheetData>
  <mergeCells count="6">
    <mergeCell ref="F26:H26"/>
    <mergeCell ref="F27:H27"/>
    <mergeCell ref="F28:H28"/>
    <mergeCell ref="E2:Q3"/>
    <mergeCell ref="B19:B24"/>
    <mergeCell ref="B27:D27"/>
  </mergeCells>
  <conditionalFormatting sqref="C2:C11 C16 C13">
    <cfRule type="cellIs" dxfId="283" priority="9" stopIfTrue="1" operator="notEqual">
      <formula>""</formula>
    </cfRule>
  </conditionalFormatting>
  <conditionalFormatting sqref="C17">
    <cfRule type="containsErrors" dxfId="282" priority="8" stopIfTrue="1">
      <formula>ISERROR(C17)</formula>
    </cfRule>
  </conditionalFormatting>
  <conditionalFormatting sqref="C2:C5 C7:C11 C16 C13">
    <cfRule type="expression" dxfId="281" priority="5" stopIfTrue="1">
      <formula>ISBLANK(C2)</formula>
    </cfRule>
  </conditionalFormatting>
  <conditionalFormatting sqref="D29:D36">
    <cfRule type="expression" dxfId="280" priority="2">
      <formula>AND(NOT(ISBLANK($C29)),ISBLANK($D29))</formula>
    </cfRule>
  </conditionalFormatting>
  <conditionalFormatting sqref="C29:C36">
    <cfRule type="expression" dxfId="279" priority="1">
      <formula>AND(NOT(ISBLANK($D29)),ISBLANK($C29))</formula>
    </cfRule>
  </conditionalFormatting>
  <dataValidations count="7">
    <dataValidation allowBlank="1" showErrorMessage="1" sqref="C29:D36"/>
    <dataValidation allowBlank="1" showInputMessage="1" showErrorMessage="1" prompt="Last day of the reporting month _x000a_DD/MM/YY" sqref="C2"/>
    <dataValidation allowBlank="1" showInputMessage="1" showErrorMessage="1" prompt="Refer to donors' contracts or amendments (if co-funding: give total amount)" sqref="C11"/>
    <dataValidation allowBlank="1" showInputMessage="1" showErrorMessage="1" prompt="DD/MM/YY_x000a_Refer to contract or amendment" sqref="C9:C10"/>
    <dataValidation allowBlank="1" showInputMessage="1" showErrorMessage="1" prompt="Main contract + co-fundings_x000a_Ex: AHA3H, AHF7F" sqref="C8"/>
    <dataValidation allowBlank="1" showInputMessage="1" showErrorMessage="1" prompt="Do not modify. This cell contains an automatic calculation" sqref="C17"/>
    <dataValidation allowBlank="1" showInputMessage="1" showErrorMessage="1" prompt="Number of people (not number of households)" sqref="C13 C16"/>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Check Box 1">
              <controlPr defaultSize="0" autoFill="0" autoLine="0" autoPict="0" macro="[0]!FSLWorksheet">
                <anchor>
                  <from>
                    <xdr:col>2</xdr:col>
                    <xdr:colOff>3155950</xdr:colOff>
                    <xdr:row>18</xdr:row>
                    <xdr:rowOff>57150</xdr:rowOff>
                  </from>
                  <to>
                    <xdr:col>2</xdr:col>
                    <xdr:colOff>3346450</xdr:colOff>
                    <xdr:row>18</xdr:row>
                    <xdr:rowOff>228600</xdr:rowOff>
                  </to>
                </anchor>
              </controlPr>
            </control>
          </mc:Choice>
        </mc:AlternateContent>
        <mc:AlternateContent xmlns:mc="http://schemas.openxmlformats.org/markup-compatibility/2006">
          <mc:Choice Requires="x14">
            <control shapeId="58370" r:id="rId5" name="Check Box 2">
              <controlPr defaultSize="0" autoFill="0" autoLine="0" autoPict="0" macro="[0]!WASHWorksheet">
                <anchor>
                  <from>
                    <xdr:col>2</xdr:col>
                    <xdr:colOff>3155950</xdr:colOff>
                    <xdr:row>19</xdr:row>
                    <xdr:rowOff>38100</xdr:rowOff>
                  </from>
                  <to>
                    <xdr:col>2</xdr:col>
                    <xdr:colOff>3365500</xdr:colOff>
                    <xdr:row>19</xdr:row>
                    <xdr:rowOff>228600</xdr:rowOff>
                  </to>
                </anchor>
              </controlPr>
            </control>
          </mc:Choice>
        </mc:AlternateContent>
        <mc:AlternateContent xmlns:mc="http://schemas.openxmlformats.org/markup-compatibility/2006">
          <mc:Choice Requires="x14">
            <control shapeId="58371" r:id="rId6" name="Check Box 3">
              <controlPr defaultSize="0" autoFill="0" autoLine="0" autoPict="0" macro="[0]!NUTHEALTHWorksheet">
                <anchor>
                  <from>
                    <xdr:col>2</xdr:col>
                    <xdr:colOff>3155950</xdr:colOff>
                    <xdr:row>20</xdr:row>
                    <xdr:rowOff>6350</xdr:rowOff>
                  </from>
                  <to>
                    <xdr:col>2</xdr:col>
                    <xdr:colOff>3346450</xdr:colOff>
                    <xdr:row>20</xdr:row>
                    <xdr:rowOff>247650</xdr:rowOff>
                  </to>
                </anchor>
              </controlPr>
            </control>
          </mc:Choice>
        </mc:AlternateContent>
        <mc:AlternateContent xmlns:mc="http://schemas.openxmlformats.org/markup-compatibility/2006">
          <mc:Choice Requires="x14">
            <control shapeId="58372" r:id="rId7" name="Check Box 4">
              <controlPr defaultSize="0" autoFill="0" autoLine="0" autoPict="0" macro="[0]!MHCPWorksheet">
                <anchor>
                  <from>
                    <xdr:col>2</xdr:col>
                    <xdr:colOff>3155950</xdr:colOff>
                    <xdr:row>21</xdr:row>
                    <xdr:rowOff>38100</xdr:rowOff>
                  </from>
                  <to>
                    <xdr:col>2</xdr:col>
                    <xdr:colOff>3346450</xdr:colOff>
                    <xdr:row>21</xdr:row>
                    <xdr:rowOff>228600</xdr:rowOff>
                  </to>
                </anchor>
              </controlPr>
            </control>
          </mc:Choice>
        </mc:AlternateContent>
        <mc:AlternateContent xmlns:mc="http://schemas.openxmlformats.org/markup-compatibility/2006">
          <mc:Choice Requires="x14">
            <control shapeId="58373" r:id="rId8" name="Check Box 5">
              <controlPr defaultSize="0" autoFill="0" autoLine="0" autoPict="0" macro="[0]!DRMWorksheet">
                <anchor>
                  <from>
                    <xdr:col>2</xdr:col>
                    <xdr:colOff>3155950</xdr:colOff>
                    <xdr:row>22</xdr:row>
                    <xdr:rowOff>38100</xdr:rowOff>
                  </from>
                  <to>
                    <xdr:col>2</xdr:col>
                    <xdr:colOff>3346450</xdr:colOff>
                    <xdr:row>22</xdr:row>
                    <xdr:rowOff>247650</xdr:rowOff>
                  </to>
                </anchor>
              </controlPr>
            </control>
          </mc:Choice>
        </mc:AlternateContent>
        <mc:AlternateContent xmlns:mc="http://schemas.openxmlformats.org/markup-compatibility/2006">
          <mc:Choice Requires="x14">
            <control shapeId="58374" r:id="rId9" name="Check Box 6">
              <controlPr defaultSize="0" autoFill="0" autoLine="0" autoPict="0" macro="[0]!ADVOCACYWorksheet">
                <anchor>
                  <from>
                    <xdr:col>2</xdr:col>
                    <xdr:colOff>3175000</xdr:colOff>
                    <xdr:row>23</xdr:row>
                    <xdr:rowOff>38100</xdr:rowOff>
                  </from>
                  <to>
                    <xdr:col>2</xdr:col>
                    <xdr:colOff>3384550</xdr:colOff>
                    <xdr:row>23</xdr:row>
                    <xdr:rowOff>247650</xdr:rowOff>
                  </to>
                </anchor>
              </controlPr>
            </control>
          </mc:Choice>
        </mc:AlternateContent>
        <mc:AlternateContent xmlns:mc="http://schemas.openxmlformats.org/markup-compatibility/2006">
          <mc:Choice Requires="x14">
            <control shapeId="58384" r:id="rId10" name="Check Box 16">
              <controlPr defaultSize="0" autoFill="0" autoLine="0" autoPict="0">
                <anchor>
                  <from>
                    <xdr:col>8</xdr:col>
                    <xdr:colOff>247650</xdr:colOff>
                    <xdr:row>27</xdr:row>
                    <xdr:rowOff>38100</xdr:rowOff>
                  </from>
                  <to>
                    <xdr:col>8</xdr:col>
                    <xdr:colOff>438150</xdr:colOff>
                    <xdr:row>27</xdr:row>
                    <xdr:rowOff>336550</xdr:rowOff>
                  </to>
                </anchor>
              </controlPr>
            </control>
          </mc:Choice>
        </mc:AlternateContent>
        <mc:AlternateContent xmlns:mc="http://schemas.openxmlformats.org/markup-compatibility/2006">
          <mc:Choice Requires="x14">
            <control shapeId="58385" r:id="rId11" name="Check Box 17">
              <controlPr defaultSize="0" autoFill="0" autoLine="0" autoPict="0">
                <anchor>
                  <from>
                    <xdr:col>8</xdr:col>
                    <xdr:colOff>247650</xdr:colOff>
                    <xdr:row>28</xdr:row>
                    <xdr:rowOff>38100</xdr:rowOff>
                  </from>
                  <to>
                    <xdr:col>8</xdr:col>
                    <xdr:colOff>438150</xdr:colOff>
                    <xdr:row>29</xdr:row>
                    <xdr:rowOff>63500</xdr:rowOff>
                  </to>
                </anchor>
              </controlPr>
            </control>
          </mc:Choice>
        </mc:AlternateContent>
        <mc:AlternateContent xmlns:mc="http://schemas.openxmlformats.org/markup-compatibility/2006">
          <mc:Choice Requires="x14">
            <control shapeId="58386" r:id="rId12" name="Check Box 18">
              <controlPr defaultSize="0" autoFill="0" autoLine="0" autoPict="0">
                <anchor>
                  <from>
                    <xdr:col>8</xdr:col>
                    <xdr:colOff>247650</xdr:colOff>
                    <xdr:row>29</xdr:row>
                    <xdr:rowOff>63500</xdr:rowOff>
                  </from>
                  <to>
                    <xdr:col>8</xdr:col>
                    <xdr:colOff>438150</xdr:colOff>
                    <xdr:row>29</xdr:row>
                    <xdr:rowOff>374650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W132"/>
  <sheetViews>
    <sheetView showGridLines="0" tabSelected="1" zoomScale="17" zoomScaleNormal="70" zoomScaleSheetLayoutView="50" workbookViewId="0">
      <selection activeCell="N19" sqref="N19"/>
    </sheetView>
  </sheetViews>
  <sheetFormatPr defaultColWidth="9.26953125" defaultRowHeight="12.5"/>
  <cols>
    <col min="1" max="1" width="9.26953125" style="2" customWidth="1"/>
    <col min="2" max="2" width="76.453125" style="2" customWidth="1"/>
    <col min="3" max="3" width="57.453125" style="2" customWidth="1"/>
    <col min="4" max="4" width="62.36328125" style="2" customWidth="1"/>
    <col min="5" max="5" width="12.54296875" style="2" bestFit="1" customWidth="1"/>
    <col min="6" max="6" width="13.453125" style="306" bestFit="1" customWidth="1"/>
    <col min="7" max="7" width="12.1796875" style="2" bestFit="1" customWidth="1"/>
    <col min="8" max="8" width="13.81640625" style="2" customWidth="1"/>
    <col min="9" max="16384" width="9.26953125" style="2"/>
  </cols>
  <sheetData>
    <row r="1" spans="1:23" ht="32.25" customHeight="1" thickBot="1">
      <c r="A1" s="1"/>
      <c r="B1" s="27"/>
      <c r="C1" s="28"/>
      <c r="D1" s="29"/>
      <c r="E1" s="29"/>
      <c r="F1" s="30"/>
      <c r="G1" s="29"/>
      <c r="H1" s="29"/>
      <c r="I1" s="30"/>
      <c r="J1" s="30"/>
      <c r="K1" s="30"/>
      <c r="L1" s="30"/>
      <c r="M1" s="30"/>
      <c r="N1" s="30"/>
      <c r="O1" s="30"/>
      <c r="P1" s="30"/>
      <c r="Q1" s="30"/>
      <c r="R1" s="30"/>
      <c r="S1" s="30"/>
      <c r="T1" s="30"/>
      <c r="U1" s="30"/>
      <c r="V1" s="30"/>
      <c r="W1" s="30"/>
    </row>
    <row r="2" spans="1:23" ht="30" customHeight="1">
      <c r="A2" s="3"/>
      <c r="B2" s="13"/>
      <c r="C2" s="399" t="s">
        <v>47</v>
      </c>
      <c r="D2" s="400"/>
      <c r="E2" s="400"/>
      <c r="F2" s="400"/>
      <c r="G2" s="400"/>
      <c r="H2" s="400"/>
      <c r="I2" s="400"/>
      <c r="J2" s="400"/>
      <c r="K2" s="400"/>
      <c r="L2" s="400"/>
      <c r="M2" s="400"/>
      <c r="N2" s="400"/>
      <c r="O2" s="400"/>
      <c r="P2" s="400"/>
      <c r="Q2" s="400"/>
      <c r="R2" s="400"/>
      <c r="S2" s="400"/>
      <c r="T2" s="400"/>
      <c r="U2" s="400"/>
      <c r="V2" s="400"/>
      <c r="W2" s="400"/>
    </row>
    <row r="3" spans="1:23" ht="30" customHeight="1">
      <c r="A3" s="3"/>
      <c r="B3" s="13"/>
      <c r="C3" s="417"/>
      <c r="D3" s="418"/>
      <c r="E3" s="418"/>
      <c r="F3" s="418"/>
      <c r="G3" s="418"/>
      <c r="H3" s="418"/>
      <c r="I3" s="418"/>
      <c r="J3" s="418"/>
      <c r="K3" s="418"/>
      <c r="L3" s="418"/>
      <c r="M3" s="418"/>
      <c r="N3" s="418"/>
      <c r="O3" s="418"/>
      <c r="P3" s="418"/>
      <c r="Q3" s="418"/>
      <c r="R3" s="418"/>
      <c r="S3" s="418"/>
      <c r="T3" s="418"/>
      <c r="U3" s="418"/>
      <c r="V3" s="418"/>
      <c r="W3" s="418"/>
    </row>
    <row r="4" spans="1:23" s="7" customFormat="1" ht="30" customHeight="1" thickBot="1">
      <c r="A4" s="5"/>
      <c r="B4" s="13"/>
      <c r="C4" s="402"/>
      <c r="D4" s="403"/>
      <c r="E4" s="403"/>
      <c r="F4" s="403"/>
      <c r="G4" s="403"/>
      <c r="H4" s="403"/>
      <c r="I4" s="403"/>
      <c r="J4" s="403"/>
      <c r="K4" s="403"/>
      <c r="L4" s="403"/>
      <c r="M4" s="403"/>
      <c r="N4" s="403"/>
      <c r="O4" s="403"/>
      <c r="P4" s="403"/>
      <c r="Q4" s="403"/>
      <c r="R4" s="403"/>
      <c r="S4" s="403"/>
      <c r="T4" s="403"/>
      <c r="U4" s="403"/>
      <c r="V4" s="403"/>
      <c r="W4" s="403"/>
    </row>
    <row r="5" spans="1:23" s="78" customFormat="1" ht="13.5" customHeight="1">
      <c r="A5" s="74"/>
      <c r="B5" s="75"/>
      <c r="C5" s="75"/>
      <c r="D5" s="75"/>
      <c r="E5" s="75"/>
      <c r="F5" s="303"/>
      <c r="G5" s="76"/>
      <c r="H5" s="76"/>
      <c r="I5" s="76"/>
      <c r="J5" s="76"/>
      <c r="K5" s="76"/>
      <c r="L5" s="76"/>
      <c r="M5" s="76"/>
      <c r="N5" s="76"/>
      <c r="O5" s="76"/>
      <c r="P5" s="76"/>
      <c r="Q5" s="76"/>
      <c r="R5" s="76"/>
      <c r="S5" s="76"/>
      <c r="T5" s="76"/>
      <c r="U5" s="76"/>
      <c r="V5" s="76"/>
      <c r="W5" s="76"/>
    </row>
    <row r="6" spans="1:23" s="78" customFormat="1" ht="14">
      <c r="A6" s="74"/>
      <c r="B6" s="285" t="s">
        <v>1</v>
      </c>
      <c r="C6" s="296" t="s">
        <v>48</v>
      </c>
      <c r="D6" s="76"/>
      <c r="E6" s="76"/>
      <c r="F6" s="304"/>
      <c r="G6" s="76"/>
      <c r="H6" s="76"/>
      <c r="I6" s="76"/>
      <c r="J6" s="76"/>
      <c r="K6" s="76"/>
      <c r="L6" s="76"/>
      <c r="M6" s="76"/>
      <c r="N6" s="76"/>
      <c r="O6" s="76"/>
      <c r="P6" s="76"/>
      <c r="Q6" s="76"/>
      <c r="R6" s="76"/>
      <c r="S6" s="76"/>
      <c r="T6" s="76"/>
      <c r="U6" s="76"/>
      <c r="V6" s="76"/>
      <c r="W6" s="76"/>
    </row>
    <row r="7" spans="1:23" s="78" customFormat="1" ht="14">
      <c r="A7" s="74"/>
      <c r="B7" s="285" t="s">
        <v>49</v>
      </c>
      <c r="C7" s="296" t="s">
        <v>259</v>
      </c>
      <c r="D7" s="76"/>
      <c r="E7" s="76"/>
      <c r="F7" s="304"/>
      <c r="G7" s="76"/>
      <c r="H7" s="76"/>
      <c r="I7" s="76"/>
      <c r="J7" s="76"/>
      <c r="K7" s="76"/>
      <c r="L7" s="76"/>
      <c r="M7" s="76"/>
      <c r="N7" s="76"/>
      <c r="O7" s="76"/>
      <c r="P7" s="76"/>
      <c r="Q7" s="76"/>
      <c r="R7" s="76"/>
      <c r="S7" s="76"/>
      <c r="T7" s="76"/>
      <c r="U7" s="76"/>
      <c r="V7" s="76"/>
      <c r="W7" s="76"/>
    </row>
    <row r="8" spans="1:23" s="78" customFormat="1" ht="14">
      <c r="A8" s="74"/>
      <c r="B8" s="285" t="s">
        <v>287</v>
      </c>
      <c r="C8" s="296" t="s">
        <v>288</v>
      </c>
      <c r="D8" s="76"/>
      <c r="E8" s="76"/>
      <c r="F8" s="304"/>
      <c r="G8" s="76"/>
      <c r="H8" s="76"/>
      <c r="I8" s="76"/>
      <c r="J8" s="76"/>
      <c r="K8" s="76"/>
      <c r="L8" s="76"/>
      <c r="M8" s="76"/>
      <c r="N8" s="76"/>
      <c r="O8" s="76"/>
      <c r="P8" s="76"/>
      <c r="Q8" s="76"/>
      <c r="R8" s="76"/>
      <c r="S8" s="76"/>
      <c r="T8" s="76"/>
      <c r="U8" s="76"/>
      <c r="V8" s="76"/>
      <c r="W8" s="76"/>
    </row>
    <row r="9" spans="1:23" s="78" customFormat="1" ht="32.25" customHeight="1">
      <c r="A9" s="74"/>
      <c r="B9" s="24" t="s">
        <v>50</v>
      </c>
      <c r="C9" s="81"/>
      <c r="D9" s="82"/>
      <c r="E9" s="81"/>
      <c r="F9" s="307"/>
      <c r="G9" s="76"/>
      <c r="H9" s="76"/>
      <c r="I9" s="76"/>
      <c r="J9" s="76"/>
      <c r="K9" s="76"/>
      <c r="L9" s="76"/>
      <c r="M9" s="76"/>
      <c r="N9" s="76"/>
      <c r="O9" s="76"/>
      <c r="P9" s="76"/>
      <c r="Q9" s="76"/>
      <c r="R9" s="76"/>
      <c r="S9" s="76"/>
      <c r="T9" s="76"/>
      <c r="U9" s="76"/>
      <c r="V9" s="76"/>
      <c r="W9" s="76"/>
    </row>
    <row r="10" spans="1:23" s="78" customFormat="1" ht="12" customHeight="1">
      <c r="A10" s="74"/>
      <c r="B10" s="84" t="s">
        <v>51</v>
      </c>
      <c r="C10" s="81"/>
      <c r="D10" s="82"/>
      <c r="E10" s="81"/>
      <c r="F10" s="307"/>
      <c r="G10" s="81"/>
      <c r="H10" s="84"/>
      <c r="I10" s="84"/>
      <c r="J10" s="84"/>
      <c r="K10" s="84"/>
      <c r="L10" s="84"/>
      <c r="M10" s="84"/>
      <c r="N10" s="84"/>
      <c r="O10" s="84"/>
      <c r="P10" s="84"/>
      <c r="Q10" s="84"/>
      <c r="R10" s="84"/>
      <c r="S10" s="84"/>
      <c r="T10" s="84"/>
      <c r="U10" s="83"/>
      <c r="V10" s="83"/>
      <c r="W10" s="83"/>
    </row>
    <row r="11" spans="1:23" s="78" customFormat="1" ht="23.25" customHeight="1">
      <c r="A11" s="74"/>
      <c r="B11" s="85" t="s">
        <v>52</v>
      </c>
      <c r="C11" s="81"/>
      <c r="D11" s="82"/>
      <c r="E11" s="81"/>
      <c r="F11" s="307"/>
      <c r="G11" s="81"/>
      <c r="H11" s="84"/>
      <c r="I11" s="84"/>
      <c r="J11" s="84"/>
      <c r="K11" s="84"/>
      <c r="L11" s="84"/>
      <c r="M11" s="84"/>
      <c r="N11" s="84"/>
      <c r="O11" s="84"/>
      <c r="P11" s="84"/>
      <c r="Q11" s="84"/>
      <c r="R11" s="84"/>
      <c r="S11" s="84"/>
      <c r="T11" s="84"/>
      <c r="U11" s="83"/>
      <c r="V11" s="83"/>
      <c r="W11" s="83"/>
    </row>
    <row r="12" spans="1:23" s="78" customFormat="1" ht="59.25" customHeight="1">
      <c r="A12" s="74"/>
      <c r="B12" s="340" t="s">
        <v>260</v>
      </c>
      <c r="C12" s="339" t="s">
        <v>62</v>
      </c>
      <c r="D12" s="297" t="s">
        <v>54</v>
      </c>
      <c r="E12" s="298" t="s">
        <v>55</v>
      </c>
      <c r="F12" s="308" t="s">
        <v>56</v>
      </c>
      <c r="G12" s="297" t="s">
        <v>57</v>
      </c>
      <c r="H12" s="299" t="s">
        <v>63</v>
      </c>
      <c r="I12" s="300">
        <v>45658</v>
      </c>
      <c r="J12" s="300">
        <v>45689</v>
      </c>
      <c r="K12" s="300">
        <v>45717</v>
      </c>
      <c r="L12" s="299" t="s">
        <v>64</v>
      </c>
      <c r="M12" s="300">
        <v>45748</v>
      </c>
      <c r="N12" s="300">
        <v>45778</v>
      </c>
      <c r="O12" s="300">
        <v>45809</v>
      </c>
      <c r="P12" s="299" t="s">
        <v>65</v>
      </c>
      <c r="Q12" s="300">
        <v>45839</v>
      </c>
      <c r="R12" s="300">
        <v>45870</v>
      </c>
      <c r="S12" s="300">
        <v>45901</v>
      </c>
      <c r="T12" s="299" t="s">
        <v>66</v>
      </c>
      <c r="U12" s="300">
        <v>45931</v>
      </c>
      <c r="V12" s="300">
        <v>45962</v>
      </c>
      <c r="W12" s="300">
        <v>45992</v>
      </c>
    </row>
    <row r="13" spans="1:23" s="78" customFormat="1" ht="56.25" customHeight="1">
      <c r="A13" s="74"/>
      <c r="B13" s="430" t="s">
        <v>254</v>
      </c>
      <c r="C13" s="431" t="s">
        <v>263</v>
      </c>
      <c r="D13" s="335" t="s">
        <v>264</v>
      </c>
      <c r="E13" s="301">
        <v>900</v>
      </c>
      <c r="F13" s="319">
        <v>876</v>
      </c>
      <c r="G13" s="302">
        <v>0.97333333333333338</v>
      </c>
      <c r="H13" s="317">
        <v>187</v>
      </c>
      <c r="I13" s="318">
        <v>58</v>
      </c>
      <c r="J13" s="318">
        <v>56</v>
      </c>
      <c r="K13" s="318">
        <v>73</v>
      </c>
      <c r="L13" s="317">
        <v>239</v>
      </c>
      <c r="M13" s="318">
        <v>72</v>
      </c>
      <c r="N13" s="318">
        <v>97</v>
      </c>
      <c r="O13" s="318">
        <v>70</v>
      </c>
      <c r="P13" s="317">
        <v>233</v>
      </c>
      <c r="Q13" s="318">
        <v>75</v>
      </c>
      <c r="R13" s="318">
        <v>83</v>
      </c>
      <c r="S13" s="318">
        <v>75</v>
      </c>
      <c r="T13" s="317">
        <v>217</v>
      </c>
      <c r="U13" s="318">
        <v>65</v>
      </c>
      <c r="V13" s="318">
        <v>75</v>
      </c>
      <c r="W13" s="318">
        <v>77</v>
      </c>
    </row>
    <row r="14" spans="1:23" s="78" customFormat="1" ht="30" customHeight="1">
      <c r="A14" s="74"/>
      <c r="B14" s="430"/>
      <c r="C14" s="432"/>
      <c r="D14" s="336" t="s">
        <v>248</v>
      </c>
      <c r="E14" s="288">
        <v>300</v>
      </c>
      <c r="F14" s="320">
        <v>331</v>
      </c>
      <c r="G14" s="289">
        <v>1.1033333333333333</v>
      </c>
      <c r="H14" s="293">
        <v>71</v>
      </c>
      <c r="I14" s="295">
        <v>22</v>
      </c>
      <c r="J14" s="295">
        <v>21</v>
      </c>
      <c r="K14" s="294">
        <v>28</v>
      </c>
      <c r="L14" s="293">
        <v>91</v>
      </c>
      <c r="M14" s="294">
        <v>34</v>
      </c>
      <c r="N14" s="294">
        <v>35</v>
      </c>
      <c r="O14" s="294">
        <v>22</v>
      </c>
      <c r="P14" s="293">
        <v>93</v>
      </c>
      <c r="Q14" s="294">
        <v>34</v>
      </c>
      <c r="R14" s="295">
        <v>31</v>
      </c>
      <c r="S14" s="294">
        <v>28</v>
      </c>
      <c r="T14" s="293">
        <v>76</v>
      </c>
      <c r="U14" s="294">
        <v>23</v>
      </c>
      <c r="V14" s="294">
        <v>31</v>
      </c>
      <c r="W14" s="294">
        <v>22</v>
      </c>
    </row>
    <row r="15" spans="1:23" s="78" customFormat="1" ht="30" customHeight="1">
      <c r="A15" s="74"/>
      <c r="B15" s="430"/>
      <c r="C15" s="432"/>
      <c r="D15" s="336" t="s">
        <v>247</v>
      </c>
      <c r="E15" s="288">
        <v>600</v>
      </c>
      <c r="F15" s="320">
        <v>545</v>
      </c>
      <c r="G15" s="289">
        <v>0.90833333333333333</v>
      </c>
      <c r="H15" s="293">
        <v>116</v>
      </c>
      <c r="I15" s="295">
        <v>36</v>
      </c>
      <c r="J15" s="295">
        <v>35</v>
      </c>
      <c r="K15" s="294">
        <v>45</v>
      </c>
      <c r="L15" s="293">
        <v>148</v>
      </c>
      <c r="M15" s="294">
        <v>38</v>
      </c>
      <c r="N15" s="294">
        <v>62</v>
      </c>
      <c r="O15" s="294">
        <v>48</v>
      </c>
      <c r="P15" s="293">
        <v>140</v>
      </c>
      <c r="Q15" s="294">
        <v>41</v>
      </c>
      <c r="R15" s="294">
        <v>52</v>
      </c>
      <c r="S15" s="294">
        <v>47</v>
      </c>
      <c r="T15" s="293">
        <v>141</v>
      </c>
      <c r="U15" s="294">
        <v>42</v>
      </c>
      <c r="V15" s="294">
        <v>44</v>
      </c>
      <c r="W15" s="294">
        <v>55</v>
      </c>
    </row>
    <row r="16" spans="1:23" s="78" customFormat="1" ht="30" customHeight="1">
      <c r="A16" s="74"/>
      <c r="B16" s="430"/>
      <c r="C16" s="432"/>
      <c r="D16" s="335" t="s">
        <v>267</v>
      </c>
      <c r="E16" s="328">
        <v>300</v>
      </c>
      <c r="F16" s="319">
        <v>300</v>
      </c>
      <c r="G16" s="302">
        <v>1</v>
      </c>
      <c r="H16" s="356">
        <v>78</v>
      </c>
      <c r="I16" s="356">
        <v>26</v>
      </c>
      <c r="J16" s="356">
        <v>26</v>
      </c>
      <c r="K16" s="356">
        <v>26</v>
      </c>
      <c r="L16" s="318">
        <v>74</v>
      </c>
      <c r="M16" s="356">
        <v>24</v>
      </c>
      <c r="N16" s="356">
        <v>24</v>
      </c>
      <c r="O16" s="356">
        <v>26</v>
      </c>
      <c r="P16" s="318">
        <v>72</v>
      </c>
      <c r="Q16" s="356">
        <v>24</v>
      </c>
      <c r="R16" s="356">
        <v>22</v>
      </c>
      <c r="S16" s="356">
        <v>26</v>
      </c>
      <c r="T16" s="318">
        <v>76</v>
      </c>
      <c r="U16" s="356">
        <v>24</v>
      </c>
      <c r="V16" s="356">
        <v>26</v>
      </c>
      <c r="W16" s="356">
        <v>26</v>
      </c>
    </row>
    <row r="17" spans="1:23" s="78" customFormat="1" ht="30" customHeight="1">
      <c r="A17" s="74"/>
      <c r="B17" s="430"/>
      <c r="C17" s="432"/>
      <c r="D17" s="336" t="s">
        <v>248</v>
      </c>
      <c r="E17" s="328">
        <v>150</v>
      </c>
      <c r="F17" s="329">
        <v>164</v>
      </c>
      <c r="G17" s="289">
        <v>1.0933333333333333</v>
      </c>
      <c r="H17" s="331">
        <v>30</v>
      </c>
      <c r="I17" s="291">
        <v>12</v>
      </c>
      <c r="J17" s="291">
        <v>8</v>
      </c>
      <c r="K17" s="291">
        <v>10</v>
      </c>
      <c r="L17" s="331">
        <v>46</v>
      </c>
      <c r="M17" s="291">
        <v>16</v>
      </c>
      <c r="N17" s="291">
        <v>12</v>
      </c>
      <c r="O17" s="291">
        <v>18</v>
      </c>
      <c r="P17" s="331">
        <v>40</v>
      </c>
      <c r="Q17" s="291">
        <v>12</v>
      </c>
      <c r="R17" s="291">
        <v>12</v>
      </c>
      <c r="S17" s="291">
        <v>16</v>
      </c>
      <c r="T17" s="331">
        <v>48</v>
      </c>
      <c r="U17" s="291">
        <v>16</v>
      </c>
      <c r="V17" s="291">
        <v>14</v>
      </c>
      <c r="W17" s="332">
        <v>18</v>
      </c>
    </row>
    <row r="18" spans="1:23" s="78" customFormat="1" ht="30" customHeight="1" thickBot="1">
      <c r="A18" s="74"/>
      <c r="B18" s="430"/>
      <c r="C18" s="432"/>
      <c r="D18" s="336" t="s">
        <v>247</v>
      </c>
      <c r="E18" s="328">
        <v>150</v>
      </c>
      <c r="F18" s="329">
        <v>136</v>
      </c>
      <c r="G18" s="289">
        <v>0.90666666666666662</v>
      </c>
      <c r="H18" s="331">
        <v>48</v>
      </c>
      <c r="I18" s="291">
        <v>14</v>
      </c>
      <c r="J18" s="291">
        <v>18</v>
      </c>
      <c r="K18" s="291">
        <v>16</v>
      </c>
      <c r="L18" s="331">
        <v>28</v>
      </c>
      <c r="M18" s="291">
        <v>8</v>
      </c>
      <c r="N18" s="291">
        <v>12</v>
      </c>
      <c r="O18" s="291">
        <v>8</v>
      </c>
      <c r="P18" s="331">
        <v>32</v>
      </c>
      <c r="Q18" s="291">
        <v>12</v>
      </c>
      <c r="R18" s="291">
        <v>10</v>
      </c>
      <c r="S18" s="291">
        <v>10</v>
      </c>
      <c r="T18" s="331">
        <v>28</v>
      </c>
      <c r="U18" s="291">
        <v>8</v>
      </c>
      <c r="V18" s="291">
        <v>12</v>
      </c>
      <c r="W18" s="332">
        <v>8</v>
      </c>
    </row>
    <row r="19" spans="1:23" s="78" customFormat="1" ht="59.25" customHeight="1">
      <c r="A19" s="74"/>
      <c r="B19" s="430"/>
      <c r="C19" s="432"/>
      <c r="D19" s="337" t="s">
        <v>268</v>
      </c>
      <c r="E19" s="324">
        <v>1500</v>
      </c>
      <c r="F19" s="334">
        <v>1300</v>
      </c>
      <c r="G19" s="302">
        <v>0.8666666666666667</v>
      </c>
      <c r="H19" s="290">
        <v>284</v>
      </c>
      <c r="I19" s="290">
        <v>102</v>
      </c>
      <c r="J19" s="290">
        <v>100</v>
      </c>
      <c r="K19" s="290">
        <v>82</v>
      </c>
      <c r="L19" s="290">
        <v>304</v>
      </c>
      <c r="M19" s="290">
        <v>100</v>
      </c>
      <c r="N19" s="290">
        <v>92</v>
      </c>
      <c r="O19" s="290">
        <v>112</v>
      </c>
      <c r="P19" s="290">
        <v>356</v>
      </c>
      <c r="Q19" s="290">
        <v>114</v>
      </c>
      <c r="R19" s="290">
        <v>132</v>
      </c>
      <c r="S19" s="290">
        <v>110</v>
      </c>
      <c r="T19" s="290">
        <v>356</v>
      </c>
      <c r="U19" s="290">
        <v>128</v>
      </c>
      <c r="V19" s="290">
        <v>102</v>
      </c>
      <c r="W19" s="327">
        <v>126</v>
      </c>
    </row>
    <row r="20" spans="1:23" s="78" customFormat="1" ht="30.75" customHeight="1">
      <c r="A20" s="74"/>
      <c r="B20" s="430"/>
      <c r="C20" s="432"/>
      <c r="D20" s="336" t="s">
        <v>248</v>
      </c>
      <c r="E20" s="328">
        <v>600</v>
      </c>
      <c r="F20" s="329">
        <v>400</v>
      </c>
      <c r="G20" s="289">
        <v>0.66666666666666663</v>
      </c>
      <c r="H20" s="331">
        <v>74</v>
      </c>
      <c r="I20" s="291">
        <v>27</v>
      </c>
      <c r="J20" s="291">
        <v>24</v>
      </c>
      <c r="K20" s="332">
        <v>23</v>
      </c>
      <c r="L20" s="331">
        <v>88</v>
      </c>
      <c r="M20" s="291">
        <v>28</v>
      </c>
      <c r="N20" s="291">
        <v>28</v>
      </c>
      <c r="O20" s="332">
        <v>32</v>
      </c>
      <c r="P20" s="331">
        <v>122</v>
      </c>
      <c r="Q20" s="291">
        <v>38</v>
      </c>
      <c r="R20" s="291">
        <v>48</v>
      </c>
      <c r="S20" s="291">
        <v>36</v>
      </c>
      <c r="T20" s="331">
        <v>116</v>
      </c>
      <c r="U20" s="291">
        <v>42</v>
      </c>
      <c r="V20" s="291">
        <v>32</v>
      </c>
      <c r="W20" s="332">
        <v>42</v>
      </c>
    </row>
    <row r="21" spans="1:23" s="78" customFormat="1" ht="30.75" customHeight="1">
      <c r="A21" s="74"/>
      <c r="B21" s="430"/>
      <c r="C21" s="432"/>
      <c r="D21" s="336" t="s">
        <v>247</v>
      </c>
      <c r="E21" s="328">
        <v>400</v>
      </c>
      <c r="F21" s="329">
        <v>400</v>
      </c>
      <c r="G21" s="289">
        <v>1</v>
      </c>
      <c r="H21" s="331">
        <v>74</v>
      </c>
      <c r="I21" s="291">
        <v>27</v>
      </c>
      <c r="J21" s="291">
        <v>24</v>
      </c>
      <c r="K21" s="332">
        <v>23</v>
      </c>
      <c r="L21" s="331">
        <v>88</v>
      </c>
      <c r="M21" s="291">
        <v>28</v>
      </c>
      <c r="N21" s="291">
        <v>28</v>
      </c>
      <c r="O21" s="332">
        <v>32</v>
      </c>
      <c r="P21" s="331">
        <v>122</v>
      </c>
      <c r="Q21" s="291">
        <v>38</v>
      </c>
      <c r="R21" s="291">
        <v>48</v>
      </c>
      <c r="S21" s="291">
        <v>36</v>
      </c>
      <c r="T21" s="331">
        <v>116</v>
      </c>
      <c r="U21" s="291">
        <v>42</v>
      </c>
      <c r="V21" s="291">
        <v>32</v>
      </c>
      <c r="W21" s="332">
        <v>42</v>
      </c>
    </row>
    <row r="22" spans="1:23" s="78" customFormat="1" ht="30.75" customHeight="1">
      <c r="A22" s="74"/>
      <c r="B22" s="430"/>
      <c r="C22" s="432"/>
      <c r="D22" s="336" t="s">
        <v>248</v>
      </c>
      <c r="E22" s="328">
        <v>250</v>
      </c>
      <c r="F22" s="329">
        <v>250</v>
      </c>
      <c r="G22" s="289">
        <v>1</v>
      </c>
      <c r="H22" s="331">
        <v>68</v>
      </c>
      <c r="I22" s="291">
        <v>24</v>
      </c>
      <c r="J22" s="291">
        <v>26</v>
      </c>
      <c r="K22" s="291">
        <v>18</v>
      </c>
      <c r="L22" s="331">
        <v>64</v>
      </c>
      <c r="M22" s="291">
        <v>22</v>
      </c>
      <c r="N22" s="291">
        <v>18</v>
      </c>
      <c r="O22" s="291">
        <v>24</v>
      </c>
      <c r="P22" s="331">
        <v>56</v>
      </c>
      <c r="Q22" s="291">
        <v>19</v>
      </c>
      <c r="R22" s="291">
        <v>18</v>
      </c>
      <c r="S22" s="291">
        <v>19</v>
      </c>
      <c r="T22" s="331">
        <v>62</v>
      </c>
      <c r="U22" s="291">
        <v>22</v>
      </c>
      <c r="V22" s="291">
        <v>19</v>
      </c>
      <c r="W22" s="332">
        <v>21</v>
      </c>
    </row>
    <row r="23" spans="1:23" s="78" customFormat="1" ht="30.75" customHeight="1">
      <c r="A23" s="74"/>
      <c r="B23" s="430"/>
      <c r="C23" s="432"/>
      <c r="D23" s="336" t="s">
        <v>247</v>
      </c>
      <c r="E23" s="328">
        <v>250</v>
      </c>
      <c r="F23" s="329">
        <v>250</v>
      </c>
      <c r="G23" s="289">
        <v>1</v>
      </c>
      <c r="H23" s="331">
        <v>68</v>
      </c>
      <c r="I23" s="291">
        <v>24</v>
      </c>
      <c r="J23" s="291">
        <v>26</v>
      </c>
      <c r="K23" s="291">
        <v>18</v>
      </c>
      <c r="L23" s="331">
        <v>64</v>
      </c>
      <c r="M23" s="291">
        <v>22</v>
      </c>
      <c r="N23" s="291">
        <v>18</v>
      </c>
      <c r="O23" s="291">
        <v>24</v>
      </c>
      <c r="P23" s="331">
        <v>56</v>
      </c>
      <c r="Q23" s="291">
        <v>19</v>
      </c>
      <c r="R23" s="291">
        <v>18</v>
      </c>
      <c r="S23" s="291">
        <v>19</v>
      </c>
      <c r="T23" s="331">
        <v>62</v>
      </c>
      <c r="U23" s="291">
        <v>22</v>
      </c>
      <c r="V23" s="291">
        <v>19</v>
      </c>
      <c r="W23" s="332">
        <v>21</v>
      </c>
    </row>
    <row r="24" spans="1:23" s="78" customFormat="1" ht="56.25" customHeight="1">
      <c r="A24" s="74"/>
      <c r="B24" s="430"/>
      <c r="C24" s="434" t="s">
        <v>253</v>
      </c>
      <c r="D24" s="344" t="s">
        <v>251</v>
      </c>
      <c r="E24" s="301">
        <v>420</v>
      </c>
      <c r="F24" s="319">
        <v>420</v>
      </c>
      <c r="G24" s="302">
        <v>1</v>
      </c>
      <c r="H24" s="317">
        <v>98</v>
      </c>
      <c r="I24" s="318">
        <v>36</v>
      </c>
      <c r="J24" s="318">
        <v>37</v>
      </c>
      <c r="K24" s="318">
        <v>25</v>
      </c>
      <c r="L24" s="317">
        <v>91</v>
      </c>
      <c r="M24" s="318">
        <v>35</v>
      </c>
      <c r="N24" s="318">
        <v>31</v>
      </c>
      <c r="O24" s="318">
        <v>25</v>
      </c>
      <c r="P24" s="317">
        <v>115</v>
      </c>
      <c r="Q24" s="318">
        <v>35</v>
      </c>
      <c r="R24" s="318">
        <v>40</v>
      </c>
      <c r="S24" s="318">
        <v>40</v>
      </c>
      <c r="T24" s="317">
        <v>116</v>
      </c>
      <c r="U24" s="318">
        <v>32</v>
      </c>
      <c r="V24" s="318">
        <v>50</v>
      </c>
      <c r="W24" s="318">
        <v>34</v>
      </c>
    </row>
    <row r="25" spans="1:23" s="78" customFormat="1" ht="30" customHeight="1">
      <c r="A25" s="74"/>
      <c r="B25" s="430"/>
      <c r="C25" s="435"/>
      <c r="D25" s="336" t="s">
        <v>67</v>
      </c>
      <c r="E25" s="288">
        <v>357</v>
      </c>
      <c r="F25" s="320">
        <v>329</v>
      </c>
      <c r="G25" s="289">
        <v>0.92156862745098034</v>
      </c>
      <c r="H25" s="293">
        <v>89</v>
      </c>
      <c r="I25" s="295">
        <v>27</v>
      </c>
      <c r="J25" s="295">
        <v>37</v>
      </c>
      <c r="K25" s="294">
        <v>25</v>
      </c>
      <c r="L25" s="293">
        <v>81</v>
      </c>
      <c r="M25" s="294">
        <v>34</v>
      </c>
      <c r="N25" s="294">
        <v>25</v>
      </c>
      <c r="O25" s="294">
        <v>22</v>
      </c>
      <c r="P25" s="293">
        <v>83</v>
      </c>
      <c r="Q25" s="294">
        <v>24</v>
      </c>
      <c r="R25" s="295">
        <v>31</v>
      </c>
      <c r="S25" s="294">
        <v>28</v>
      </c>
      <c r="T25" s="293">
        <v>76</v>
      </c>
      <c r="U25" s="294">
        <v>23</v>
      </c>
      <c r="V25" s="294">
        <v>31</v>
      </c>
      <c r="W25" s="294">
        <v>22</v>
      </c>
    </row>
    <row r="26" spans="1:23" s="78" customFormat="1" ht="30" customHeight="1" thickBot="1">
      <c r="A26" s="74"/>
      <c r="B26" s="430"/>
      <c r="C26" s="435"/>
      <c r="D26" s="336" t="s">
        <v>68</v>
      </c>
      <c r="E26" s="288">
        <v>63</v>
      </c>
      <c r="F26" s="320">
        <v>91</v>
      </c>
      <c r="G26" s="289">
        <v>1.4444444444444444</v>
      </c>
      <c r="H26" s="293">
        <v>9</v>
      </c>
      <c r="I26" s="295">
        <v>9</v>
      </c>
      <c r="J26" s="295">
        <v>0</v>
      </c>
      <c r="K26" s="294">
        <v>0</v>
      </c>
      <c r="L26" s="293">
        <v>10</v>
      </c>
      <c r="M26" s="294">
        <v>1</v>
      </c>
      <c r="N26" s="294">
        <v>6</v>
      </c>
      <c r="O26" s="294">
        <v>3</v>
      </c>
      <c r="P26" s="293">
        <v>32</v>
      </c>
      <c r="Q26" s="294">
        <v>11</v>
      </c>
      <c r="R26" s="294">
        <v>9</v>
      </c>
      <c r="S26" s="294">
        <v>12</v>
      </c>
      <c r="T26" s="293">
        <v>40</v>
      </c>
      <c r="U26" s="294">
        <v>9</v>
      </c>
      <c r="V26" s="294">
        <v>19</v>
      </c>
      <c r="W26" s="294">
        <v>12</v>
      </c>
    </row>
    <row r="27" spans="1:23" s="78" customFormat="1" ht="59.25" customHeight="1">
      <c r="A27" s="74"/>
      <c r="B27" s="430"/>
      <c r="C27" s="435"/>
      <c r="D27" s="337" t="s">
        <v>252</v>
      </c>
      <c r="E27" s="324">
        <v>200</v>
      </c>
      <c r="F27" s="334">
        <v>200</v>
      </c>
      <c r="G27" s="302">
        <v>1</v>
      </c>
      <c r="H27" s="290">
        <v>30</v>
      </c>
      <c r="I27" s="290">
        <v>0</v>
      </c>
      <c r="J27" s="290">
        <v>0</v>
      </c>
      <c r="K27" s="290">
        <v>30</v>
      </c>
      <c r="L27" s="290">
        <v>32</v>
      </c>
      <c r="M27" s="290">
        <v>32</v>
      </c>
      <c r="N27" s="290">
        <v>0</v>
      </c>
      <c r="O27" s="290">
        <v>0</v>
      </c>
      <c r="P27" s="290">
        <v>72</v>
      </c>
      <c r="Q27" s="290">
        <v>36</v>
      </c>
      <c r="R27" s="290">
        <v>36</v>
      </c>
      <c r="S27" s="290">
        <v>0</v>
      </c>
      <c r="T27" s="290">
        <v>66</v>
      </c>
      <c r="U27" s="290">
        <v>26</v>
      </c>
      <c r="V27" s="290">
        <v>0</v>
      </c>
      <c r="W27" s="327">
        <v>40</v>
      </c>
    </row>
    <row r="28" spans="1:23" s="78" customFormat="1" ht="30.75" customHeight="1">
      <c r="A28" s="74"/>
      <c r="B28" s="430"/>
      <c r="C28" s="435"/>
      <c r="D28" s="343" t="s">
        <v>69</v>
      </c>
      <c r="E28" s="328">
        <v>60</v>
      </c>
      <c r="F28" s="329">
        <v>60</v>
      </c>
      <c r="G28" s="289">
        <v>1</v>
      </c>
      <c r="H28" s="331">
        <v>8</v>
      </c>
      <c r="I28" s="291">
        <v>0</v>
      </c>
      <c r="J28" s="291">
        <v>0</v>
      </c>
      <c r="K28" s="291">
        <v>8</v>
      </c>
      <c r="L28" s="331">
        <v>8</v>
      </c>
      <c r="M28" s="291">
        <v>8</v>
      </c>
      <c r="N28" s="291">
        <v>0</v>
      </c>
      <c r="O28" s="291">
        <v>0</v>
      </c>
      <c r="P28" s="331">
        <v>24</v>
      </c>
      <c r="Q28" s="291">
        <v>12</v>
      </c>
      <c r="R28" s="291">
        <v>12</v>
      </c>
      <c r="S28" s="291">
        <v>0</v>
      </c>
      <c r="T28" s="331">
        <v>20</v>
      </c>
      <c r="U28" s="291">
        <v>8</v>
      </c>
      <c r="V28" s="291">
        <v>0</v>
      </c>
      <c r="W28" s="332">
        <v>12</v>
      </c>
    </row>
    <row r="29" spans="1:23" s="78" customFormat="1" ht="30.75" customHeight="1" thickBot="1">
      <c r="A29" s="74"/>
      <c r="B29" s="430"/>
      <c r="C29" s="435"/>
      <c r="D29" s="343" t="s">
        <v>67</v>
      </c>
      <c r="E29" s="328">
        <v>140</v>
      </c>
      <c r="F29" s="329">
        <v>140</v>
      </c>
      <c r="G29" s="289">
        <v>1</v>
      </c>
      <c r="H29" s="331">
        <v>22</v>
      </c>
      <c r="I29" s="291">
        <v>0</v>
      </c>
      <c r="J29" s="291">
        <v>0</v>
      </c>
      <c r="K29" s="291">
        <v>22</v>
      </c>
      <c r="L29" s="331">
        <v>24</v>
      </c>
      <c r="M29" s="291">
        <v>24</v>
      </c>
      <c r="N29" s="291">
        <v>0</v>
      </c>
      <c r="O29" s="291">
        <v>0</v>
      </c>
      <c r="P29" s="331">
        <v>48</v>
      </c>
      <c r="Q29" s="291">
        <v>24</v>
      </c>
      <c r="R29" s="291">
        <v>24</v>
      </c>
      <c r="S29" s="291">
        <v>0</v>
      </c>
      <c r="T29" s="331">
        <v>46</v>
      </c>
      <c r="U29" s="291">
        <v>18</v>
      </c>
      <c r="V29" s="291">
        <v>0</v>
      </c>
      <c r="W29" s="332">
        <v>28</v>
      </c>
    </row>
    <row r="30" spans="1:23" s="78" customFormat="1" ht="59.25" customHeight="1">
      <c r="A30" s="74"/>
      <c r="B30" s="430"/>
      <c r="C30" s="435"/>
      <c r="D30" s="337" t="s">
        <v>258</v>
      </c>
      <c r="E30" s="345">
        <v>168</v>
      </c>
      <c r="F30" s="325">
        <v>426</v>
      </c>
      <c r="G30" s="346">
        <v>2.5357142857142856</v>
      </c>
      <c r="H30" s="290">
        <v>69</v>
      </c>
      <c r="I30" s="347">
        <v>52</v>
      </c>
      <c r="J30" s="290">
        <v>17</v>
      </c>
      <c r="K30" s="290">
        <v>67</v>
      </c>
      <c r="L30" s="290">
        <v>116</v>
      </c>
      <c r="M30" s="290">
        <v>52</v>
      </c>
      <c r="N30" s="347">
        <v>17</v>
      </c>
      <c r="O30" s="290">
        <v>47</v>
      </c>
      <c r="P30" s="290">
        <v>138</v>
      </c>
      <c r="Q30" s="290">
        <v>48</v>
      </c>
      <c r="R30" s="290">
        <v>27</v>
      </c>
      <c r="S30" s="290">
        <v>63</v>
      </c>
      <c r="T30" s="290">
        <v>103</v>
      </c>
      <c r="U30" s="290">
        <v>52</v>
      </c>
      <c r="V30" s="290">
        <v>28</v>
      </c>
      <c r="W30" s="290">
        <v>57</v>
      </c>
    </row>
    <row r="31" spans="1:23" s="78" customFormat="1" ht="30.75" customHeight="1">
      <c r="A31" s="74"/>
      <c r="B31" s="430"/>
      <c r="C31" s="435"/>
      <c r="D31" s="348" t="s">
        <v>69</v>
      </c>
      <c r="E31" s="349">
        <v>0</v>
      </c>
      <c r="F31" s="329">
        <v>58</v>
      </c>
      <c r="G31" s="350">
        <v>46</v>
      </c>
      <c r="H31" s="290">
        <v>10</v>
      </c>
      <c r="I31" s="291">
        <v>8</v>
      </c>
      <c r="J31" s="291">
        <v>2</v>
      </c>
      <c r="K31" s="332">
        <v>12</v>
      </c>
      <c r="L31" s="351">
        <v>22</v>
      </c>
      <c r="M31" s="291">
        <v>8</v>
      </c>
      <c r="N31" s="291">
        <v>2</v>
      </c>
      <c r="O31" s="332">
        <v>12</v>
      </c>
      <c r="P31" s="331">
        <v>22</v>
      </c>
      <c r="Q31" s="291">
        <v>8</v>
      </c>
      <c r="R31" s="291">
        <v>2</v>
      </c>
      <c r="S31" s="332">
        <v>12</v>
      </c>
      <c r="T31" s="331">
        <v>22</v>
      </c>
      <c r="U31" s="291">
        <v>8</v>
      </c>
      <c r="V31" s="291">
        <v>2</v>
      </c>
      <c r="W31" s="332">
        <v>12</v>
      </c>
    </row>
    <row r="32" spans="1:23" s="78" customFormat="1" ht="30.75" customHeight="1">
      <c r="A32" s="74"/>
      <c r="B32" s="430"/>
      <c r="C32" s="435"/>
      <c r="D32" s="348" t="s">
        <v>67</v>
      </c>
      <c r="E32" s="352">
        <v>134</v>
      </c>
      <c r="F32" s="329">
        <v>79</v>
      </c>
      <c r="G32" s="350">
        <v>67</v>
      </c>
      <c r="H32" s="290">
        <v>22</v>
      </c>
      <c r="I32" s="291">
        <v>18</v>
      </c>
      <c r="J32" s="291">
        <v>4</v>
      </c>
      <c r="K32" s="332">
        <v>15</v>
      </c>
      <c r="L32" s="331">
        <v>34</v>
      </c>
      <c r="M32" s="291">
        <v>18</v>
      </c>
      <c r="N32" s="291">
        <v>4</v>
      </c>
      <c r="O32" s="332">
        <v>12</v>
      </c>
      <c r="P32" s="331">
        <v>40</v>
      </c>
      <c r="Q32" s="291">
        <v>18</v>
      </c>
      <c r="R32" s="291">
        <v>4</v>
      </c>
      <c r="S32" s="332">
        <v>18</v>
      </c>
      <c r="T32" s="331">
        <v>0</v>
      </c>
      <c r="U32" s="291">
        <v>18</v>
      </c>
      <c r="V32" s="291">
        <v>4</v>
      </c>
      <c r="W32" s="332">
        <v>12</v>
      </c>
    </row>
    <row r="33" spans="1:23" s="78" customFormat="1" ht="30.75" customHeight="1">
      <c r="A33" s="74"/>
      <c r="B33" s="430"/>
      <c r="C33" s="435"/>
      <c r="D33" s="348" t="s">
        <v>246</v>
      </c>
      <c r="E33" s="349">
        <v>0</v>
      </c>
      <c r="F33" s="329">
        <v>61</v>
      </c>
      <c r="G33" s="350">
        <v>49</v>
      </c>
      <c r="H33" s="290">
        <v>13</v>
      </c>
      <c r="I33" s="291">
        <v>8</v>
      </c>
      <c r="J33" s="291">
        <v>5</v>
      </c>
      <c r="K33" s="332">
        <v>12</v>
      </c>
      <c r="L33" s="331">
        <v>25</v>
      </c>
      <c r="M33" s="291">
        <v>8</v>
      </c>
      <c r="N33" s="291">
        <v>5</v>
      </c>
      <c r="O33" s="332">
        <v>12</v>
      </c>
      <c r="P33" s="331">
        <v>25</v>
      </c>
      <c r="Q33" s="291">
        <v>8</v>
      </c>
      <c r="R33" s="291">
        <v>5</v>
      </c>
      <c r="S33" s="332">
        <v>12</v>
      </c>
      <c r="T33" s="331">
        <v>25</v>
      </c>
      <c r="U33" s="291">
        <v>8</v>
      </c>
      <c r="V33" s="291">
        <v>5</v>
      </c>
      <c r="W33" s="332">
        <v>12</v>
      </c>
    </row>
    <row r="34" spans="1:23" s="78" customFormat="1" ht="30.75" customHeight="1" thickBot="1">
      <c r="A34" s="74"/>
      <c r="B34" s="430"/>
      <c r="C34" s="435"/>
      <c r="D34" s="348" t="s">
        <v>68</v>
      </c>
      <c r="E34" s="349">
        <v>34</v>
      </c>
      <c r="F34" s="329">
        <v>61</v>
      </c>
      <c r="G34" s="350">
        <v>84</v>
      </c>
      <c r="H34" s="290">
        <v>24</v>
      </c>
      <c r="I34" s="291">
        <v>18</v>
      </c>
      <c r="J34" s="291">
        <v>6</v>
      </c>
      <c r="K34" s="332">
        <v>28</v>
      </c>
      <c r="L34" s="331">
        <v>35</v>
      </c>
      <c r="M34" s="291">
        <v>18</v>
      </c>
      <c r="N34" s="291">
        <v>6</v>
      </c>
      <c r="O34" s="332">
        <v>11</v>
      </c>
      <c r="P34" s="331">
        <v>51</v>
      </c>
      <c r="Q34" s="291">
        <v>14</v>
      </c>
      <c r="R34" s="291">
        <v>16</v>
      </c>
      <c r="S34" s="332">
        <v>21</v>
      </c>
      <c r="T34" s="331">
        <v>56</v>
      </c>
      <c r="U34" s="291">
        <v>18</v>
      </c>
      <c r="V34" s="291">
        <v>17</v>
      </c>
      <c r="W34" s="332">
        <v>21</v>
      </c>
    </row>
    <row r="35" spans="1:23" s="78" customFormat="1" ht="59.25" customHeight="1">
      <c r="A35" s="74"/>
      <c r="B35" s="430"/>
      <c r="C35" s="435"/>
      <c r="D35" s="337" t="s">
        <v>286</v>
      </c>
      <c r="E35" s="384" t="s">
        <v>283</v>
      </c>
      <c r="F35" s="329">
        <v>61</v>
      </c>
      <c r="G35" s="385">
        <v>1</v>
      </c>
      <c r="H35" s="386" t="s">
        <v>289</v>
      </c>
      <c r="I35" s="386" t="s">
        <v>289</v>
      </c>
      <c r="J35" s="386" t="s">
        <v>289</v>
      </c>
      <c r="K35" s="386" t="s">
        <v>289</v>
      </c>
      <c r="L35" s="386" t="s">
        <v>290</v>
      </c>
      <c r="M35" s="386" t="s">
        <v>290</v>
      </c>
      <c r="N35" s="386" t="s">
        <v>290</v>
      </c>
      <c r="O35" s="386" t="s">
        <v>290</v>
      </c>
      <c r="P35" s="386" t="s">
        <v>290</v>
      </c>
      <c r="Q35" s="386" t="s">
        <v>290</v>
      </c>
      <c r="R35" s="386" t="s">
        <v>290</v>
      </c>
      <c r="S35" s="386" t="s">
        <v>290</v>
      </c>
      <c r="T35" s="386" t="s">
        <v>290</v>
      </c>
      <c r="U35" s="386" t="s">
        <v>290</v>
      </c>
      <c r="V35" s="386" t="s">
        <v>290</v>
      </c>
      <c r="W35" s="386" t="s">
        <v>290</v>
      </c>
    </row>
    <row r="36" spans="1:23" s="78" customFormat="1" ht="30.75" customHeight="1">
      <c r="A36" s="74"/>
      <c r="B36" s="430"/>
      <c r="C36" s="435"/>
      <c r="D36" s="387" t="s">
        <v>284</v>
      </c>
      <c r="E36" s="388">
        <v>2</v>
      </c>
      <c r="F36" s="329">
        <v>61</v>
      </c>
      <c r="G36" s="350">
        <v>7</v>
      </c>
      <c r="H36" s="351">
        <v>1</v>
      </c>
      <c r="I36" s="291">
        <v>1</v>
      </c>
      <c r="J36" s="291">
        <v>1</v>
      </c>
      <c r="K36" s="291">
        <v>1</v>
      </c>
      <c r="L36" s="351">
        <v>2</v>
      </c>
      <c r="M36" s="389">
        <v>2</v>
      </c>
      <c r="N36" s="389">
        <v>2</v>
      </c>
      <c r="O36" s="389">
        <v>2</v>
      </c>
      <c r="P36" s="351">
        <v>2</v>
      </c>
      <c r="Q36" s="389">
        <v>2</v>
      </c>
      <c r="R36" s="389">
        <v>2</v>
      </c>
      <c r="S36" s="389">
        <v>2</v>
      </c>
      <c r="T36" s="351">
        <v>2</v>
      </c>
      <c r="U36" s="389">
        <v>2</v>
      </c>
      <c r="V36" s="389">
        <v>2</v>
      </c>
      <c r="W36" s="389">
        <v>2</v>
      </c>
    </row>
    <row r="37" spans="1:23" s="78" customFormat="1" ht="30.75" customHeight="1" thickBot="1">
      <c r="A37" s="74"/>
      <c r="B37" s="430"/>
      <c r="C37" s="435"/>
      <c r="D37" s="387" t="s">
        <v>285</v>
      </c>
      <c r="E37" s="388">
        <v>2280</v>
      </c>
      <c r="F37" s="329">
        <v>61</v>
      </c>
      <c r="G37" s="350">
        <v>477.33333333333337</v>
      </c>
      <c r="H37" s="351">
        <v>36.333333333333336</v>
      </c>
      <c r="I37" s="291">
        <v>34</v>
      </c>
      <c r="J37" s="291">
        <v>36</v>
      </c>
      <c r="K37" s="291">
        <v>39</v>
      </c>
      <c r="L37" s="351">
        <v>124.66666666666667</v>
      </c>
      <c r="M37" s="389">
        <v>120</v>
      </c>
      <c r="N37" s="389">
        <v>124</v>
      </c>
      <c r="O37" s="389">
        <v>130</v>
      </c>
      <c r="P37" s="351">
        <v>141.33333333333334</v>
      </c>
      <c r="Q37" s="389">
        <v>138</v>
      </c>
      <c r="R37" s="389">
        <v>142</v>
      </c>
      <c r="S37" s="389">
        <v>144</v>
      </c>
      <c r="T37" s="351">
        <v>175</v>
      </c>
      <c r="U37" s="389">
        <v>156</v>
      </c>
      <c r="V37" s="389">
        <v>179</v>
      </c>
      <c r="W37" s="389">
        <v>190</v>
      </c>
    </row>
    <row r="38" spans="1:23" s="78" customFormat="1" ht="59.25" customHeight="1">
      <c r="A38" s="74"/>
      <c r="B38" s="430"/>
      <c r="C38" s="435"/>
      <c r="D38" s="337" t="s">
        <v>257</v>
      </c>
      <c r="E38" s="324">
        <v>1200</v>
      </c>
      <c r="F38" s="329">
        <v>61</v>
      </c>
      <c r="G38" s="330">
        <v>1.8133333333333332</v>
      </c>
      <c r="H38" s="290">
        <v>420</v>
      </c>
      <c r="I38" s="290">
        <v>171</v>
      </c>
      <c r="J38" s="290">
        <v>128</v>
      </c>
      <c r="K38" s="290">
        <v>121</v>
      </c>
      <c r="L38" s="290">
        <v>423</v>
      </c>
      <c r="M38" s="290">
        <v>100</v>
      </c>
      <c r="N38" s="290">
        <v>187</v>
      </c>
      <c r="O38" s="290">
        <v>136</v>
      </c>
      <c r="P38" s="290">
        <v>474</v>
      </c>
      <c r="Q38" s="290">
        <v>160</v>
      </c>
      <c r="R38" s="290">
        <v>134</v>
      </c>
      <c r="S38" s="290">
        <v>180</v>
      </c>
      <c r="T38" s="290">
        <v>859</v>
      </c>
      <c r="U38" s="290">
        <v>408</v>
      </c>
      <c r="V38" s="290">
        <v>211</v>
      </c>
      <c r="W38" s="290">
        <v>240</v>
      </c>
    </row>
    <row r="39" spans="1:23" s="78" customFormat="1" ht="30.75" customHeight="1">
      <c r="A39" s="74"/>
      <c r="B39" s="430"/>
      <c r="C39" s="435"/>
      <c r="D39" s="343" t="s">
        <v>261</v>
      </c>
      <c r="E39" s="354">
        <v>960</v>
      </c>
      <c r="F39" s="329">
        <v>61</v>
      </c>
      <c r="G39" s="330">
        <v>4.0875000000000004</v>
      </c>
      <c r="H39" s="331">
        <v>244</v>
      </c>
      <c r="I39" s="291">
        <v>78</v>
      </c>
      <c r="J39" s="291">
        <v>68</v>
      </c>
      <c r="K39" s="291">
        <v>98</v>
      </c>
      <c r="L39" s="331">
        <v>284</v>
      </c>
      <c r="M39" s="291">
        <v>97</v>
      </c>
      <c r="N39" s="291">
        <v>88</v>
      </c>
      <c r="O39" s="291">
        <v>99</v>
      </c>
      <c r="P39" s="331">
        <v>233</v>
      </c>
      <c r="Q39" s="291">
        <v>89</v>
      </c>
      <c r="R39" s="291">
        <v>88</v>
      </c>
      <c r="S39" s="291">
        <v>56</v>
      </c>
      <c r="T39" s="331">
        <v>220</v>
      </c>
      <c r="U39" s="291">
        <v>78</v>
      </c>
      <c r="V39" s="291">
        <v>87</v>
      </c>
      <c r="W39" s="332">
        <v>55</v>
      </c>
    </row>
    <row r="40" spans="1:23" s="78" customFormat="1" ht="30.75" customHeight="1">
      <c r="A40" s="74"/>
      <c r="B40" s="430"/>
      <c r="C40" s="435"/>
      <c r="D40" s="353" t="s">
        <v>262</v>
      </c>
      <c r="E40" s="288">
        <v>240</v>
      </c>
      <c r="F40" s="329">
        <v>61</v>
      </c>
      <c r="G40" s="330">
        <v>1.0083333333333333</v>
      </c>
      <c r="H40" s="331">
        <v>72</v>
      </c>
      <c r="I40" s="291">
        <v>26</v>
      </c>
      <c r="J40" s="291">
        <v>22</v>
      </c>
      <c r="K40" s="291">
        <v>24</v>
      </c>
      <c r="L40" s="331">
        <v>63</v>
      </c>
      <c r="M40" s="291">
        <v>21</v>
      </c>
      <c r="N40" s="291">
        <v>24</v>
      </c>
      <c r="O40" s="291">
        <v>18</v>
      </c>
      <c r="P40" s="331">
        <v>59</v>
      </c>
      <c r="Q40" s="291">
        <v>18</v>
      </c>
      <c r="R40" s="291">
        <v>20</v>
      </c>
      <c r="S40" s="291">
        <v>21</v>
      </c>
      <c r="T40" s="331">
        <v>48</v>
      </c>
      <c r="U40" s="291">
        <v>14</v>
      </c>
      <c r="V40" s="291">
        <v>16</v>
      </c>
      <c r="W40" s="332">
        <v>18</v>
      </c>
    </row>
    <row r="41" spans="1:23" s="78" customFormat="1" ht="30.75" customHeight="1">
      <c r="A41" s="74"/>
      <c r="B41" s="430"/>
      <c r="C41" s="435"/>
      <c r="D41" s="383" t="s">
        <v>282</v>
      </c>
      <c r="E41" s="328">
        <v>1937</v>
      </c>
      <c r="F41" s="329">
        <v>61</v>
      </c>
      <c r="G41" s="330">
        <v>6.0418172431595254</v>
      </c>
      <c r="H41" s="290">
        <v>3415</v>
      </c>
      <c r="I41" s="290">
        <v>1049</v>
      </c>
      <c r="J41" s="290">
        <v>1374</v>
      </c>
      <c r="K41" s="290">
        <v>992</v>
      </c>
      <c r="L41" s="290">
        <v>2651</v>
      </c>
      <c r="M41" s="290">
        <v>1140</v>
      </c>
      <c r="N41" s="290">
        <v>802</v>
      </c>
      <c r="O41" s="290">
        <v>709</v>
      </c>
      <c r="P41" s="290">
        <v>2427</v>
      </c>
      <c r="Q41" s="290">
        <v>741</v>
      </c>
      <c r="R41" s="290">
        <v>943</v>
      </c>
      <c r="S41" s="290">
        <v>743</v>
      </c>
      <c r="T41" s="290">
        <v>3210</v>
      </c>
      <c r="U41" s="290">
        <v>1057</v>
      </c>
      <c r="V41" s="290">
        <v>1214</v>
      </c>
      <c r="W41" s="290">
        <v>939</v>
      </c>
    </row>
    <row r="42" spans="1:23" s="78" customFormat="1" ht="30.75" customHeight="1">
      <c r="A42" s="74"/>
      <c r="B42" s="430"/>
      <c r="C42" s="435"/>
      <c r="D42" s="343" t="s">
        <v>69</v>
      </c>
      <c r="E42" s="328">
        <v>880</v>
      </c>
      <c r="F42" s="329">
        <v>61</v>
      </c>
      <c r="G42" s="330">
        <v>1.4363636363636363</v>
      </c>
      <c r="H42" s="331">
        <v>231</v>
      </c>
      <c r="I42" s="291">
        <v>98</v>
      </c>
      <c r="J42" s="291">
        <v>73</v>
      </c>
      <c r="K42" s="291">
        <v>60</v>
      </c>
      <c r="L42" s="331">
        <v>239</v>
      </c>
      <c r="M42" s="291">
        <v>59</v>
      </c>
      <c r="N42" s="291">
        <v>109</v>
      </c>
      <c r="O42" s="291">
        <v>71</v>
      </c>
      <c r="P42" s="331">
        <v>257</v>
      </c>
      <c r="Q42" s="291">
        <v>90</v>
      </c>
      <c r="R42" s="291">
        <v>81</v>
      </c>
      <c r="S42" s="291">
        <v>86</v>
      </c>
      <c r="T42" s="331">
        <v>537</v>
      </c>
      <c r="U42" s="291">
        <v>273</v>
      </c>
      <c r="V42" s="291">
        <v>118</v>
      </c>
      <c r="W42" s="332">
        <v>146</v>
      </c>
    </row>
    <row r="43" spans="1:23" s="78" customFormat="1" ht="30.75" customHeight="1">
      <c r="A43" s="74"/>
      <c r="B43" s="430"/>
      <c r="C43" s="435"/>
      <c r="D43" s="343" t="s">
        <v>67</v>
      </c>
      <c r="E43" s="328">
        <v>880</v>
      </c>
      <c r="F43" s="329">
        <v>61</v>
      </c>
      <c r="G43" s="330">
        <v>0.80909090909090908</v>
      </c>
      <c r="H43" s="331">
        <v>164</v>
      </c>
      <c r="I43" s="291">
        <v>66</v>
      </c>
      <c r="J43" s="291">
        <v>49</v>
      </c>
      <c r="K43" s="291">
        <v>49</v>
      </c>
      <c r="L43" s="331">
        <v>140</v>
      </c>
      <c r="M43" s="291">
        <v>33</v>
      </c>
      <c r="N43" s="291">
        <v>56</v>
      </c>
      <c r="O43" s="291">
        <v>51</v>
      </c>
      <c r="P43" s="331">
        <v>163</v>
      </c>
      <c r="Q43" s="291">
        <v>51</v>
      </c>
      <c r="R43" s="291">
        <v>45</v>
      </c>
      <c r="S43" s="291">
        <v>67</v>
      </c>
      <c r="T43" s="331">
        <v>245</v>
      </c>
      <c r="U43" s="291">
        <v>99</v>
      </c>
      <c r="V43" s="291">
        <v>72</v>
      </c>
      <c r="W43" s="332">
        <v>74</v>
      </c>
    </row>
    <row r="44" spans="1:23" s="78" customFormat="1" ht="30.75" customHeight="1">
      <c r="A44" s="74"/>
      <c r="B44" s="430"/>
      <c r="C44" s="435"/>
      <c r="D44" s="343" t="s">
        <v>246</v>
      </c>
      <c r="E44" s="328">
        <v>88</v>
      </c>
      <c r="F44" s="329">
        <v>61</v>
      </c>
      <c r="G44" s="330">
        <v>1.5681818181818181</v>
      </c>
      <c r="H44" s="331">
        <v>15</v>
      </c>
      <c r="I44" s="291">
        <v>4</v>
      </c>
      <c r="J44" s="291">
        <v>4</v>
      </c>
      <c r="K44" s="291">
        <v>7</v>
      </c>
      <c r="L44" s="331">
        <v>27</v>
      </c>
      <c r="M44" s="291">
        <v>4</v>
      </c>
      <c r="N44" s="291">
        <v>15</v>
      </c>
      <c r="O44" s="291">
        <v>8</v>
      </c>
      <c r="P44" s="331">
        <v>40</v>
      </c>
      <c r="Q44" s="291">
        <v>16</v>
      </c>
      <c r="R44" s="291">
        <v>5</v>
      </c>
      <c r="S44" s="291">
        <v>19</v>
      </c>
      <c r="T44" s="331">
        <v>56</v>
      </c>
      <c r="U44" s="291">
        <v>24</v>
      </c>
      <c r="V44" s="291">
        <v>17</v>
      </c>
      <c r="W44" s="332">
        <v>15</v>
      </c>
    </row>
    <row r="45" spans="1:23" s="78" customFormat="1" ht="30.75" customHeight="1" thickBot="1">
      <c r="A45" s="74"/>
      <c r="B45" s="430"/>
      <c r="C45" s="435"/>
      <c r="D45" s="343" t="s">
        <v>68</v>
      </c>
      <c r="E45" s="328">
        <v>89</v>
      </c>
      <c r="F45" s="329">
        <v>61</v>
      </c>
      <c r="G45" s="330">
        <v>0.6966292134831461</v>
      </c>
      <c r="H45" s="331">
        <v>10</v>
      </c>
      <c r="I45" s="333">
        <v>3</v>
      </c>
      <c r="J45" s="333">
        <v>2</v>
      </c>
      <c r="K45" s="333">
        <v>5</v>
      </c>
      <c r="L45" s="331">
        <v>17</v>
      </c>
      <c r="M45" s="333">
        <v>4</v>
      </c>
      <c r="N45" s="333">
        <v>7</v>
      </c>
      <c r="O45" s="333">
        <v>6</v>
      </c>
      <c r="P45" s="331">
        <v>14</v>
      </c>
      <c r="Q45" s="333">
        <v>3</v>
      </c>
      <c r="R45" s="333">
        <v>3</v>
      </c>
      <c r="S45" s="333">
        <v>8</v>
      </c>
      <c r="T45" s="331">
        <v>21</v>
      </c>
      <c r="U45" s="291">
        <v>12</v>
      </c>
      <c r="V45" s="291">
        <v>4</v>
      </c>
      <c r="W45" s="332">
        <v>5</v>
      </c>
    </row>
    <row r="46" spans="1:23" s="78" customFormat="1" ht="59.25" customHeight="1">
      <c r="A46" s="74"/>
      <c r="B46" s="430"/>
      <c r="C46" s="435"/>
      <c r="D46" s="337" t="s">
        <v>256</v>
      </c>
      <c r="E46" s="324">
        <v>7200</v>
      </c>
      <c r="F46" s="329">
        <v>61</v>
      </c>
      <c r="G46" s="326">
        <v>0.86569444444444443</v>
      </c>
      <c r="H46" s="290">
        <v>1803</v>
      </c>
      <c r="I46" s="290">
        <v>564</v>
      </c>
      <c r="J46" s="290">
        <v>724</v>
      </c>
      <c r="K46" s="290">
        <v>515</v>
      </c>
      <c r="L46" s="290">
        <v>1412</v>
      </c>
      <c r="M46" s="290">
        <v>602</v>
      </c>
      <c r="N46" s="290">
        <v>430</v>
      </c>
      <c r="O46" s="290">
        <v>380</v>
      </c>
      <c r="P46" s="290">
        <v>1298</v>
      </c>
      <c r="Q46" s="290">
        <v>396</v>
      </c>
      <c r="R46" s="290">
        <v>508</v>
      </c>
      <c r="S46" s="290">
        <v>394</v>
      </c>
      <c r="T46" s="290">
        <v>1720</v>
      </c>
      <c r="U46" s="290">
        <v>558</v>
      </c>
      <c r="V46" s="290">
        <v>649</v>
      </c>
      <c r="W46" s="327">
        <v>513</v>
      </c>
    </row>
    <row r="47" spans="1:23" s="78" customFormat="1" ht="30" customHeight="1">
      <c r="A47" s="74"/>
      <c r="B47" s="430"/>
      <c r="C47" s="435"/>
      <c r="D47" s="338" t="s">
        <v>69</v>
      </c>
      <c r="E47" s="288">
        <v>200</v>
      </c>
      <c r="F47" s="329">
        <v>61</v>
      </c>
      <c r="G47" s="289">
        <v>0</v>
      </c>
      <c r="H47" s="293">
        <v>0</v>
      </c>
      <c r="I47" s="294"/>
      <c r="J47" s="294"/>
      <c r="K47" s="294"/>
      <c r="L47" s="293">
        <v>0</v>
      </c>
      <c r="M47" s="294"/>
      <c r="N47" s="294"/>
      <c r="O47" s="294"/>
      <c r="P47" s="293">
        <v>0</v>
      </c>
      <c r="Q47" s="294"/>
      <c r="R47" s="294"/>
      <c r="S47" s="294"/>
      <c r="T47" s="293">
        <v>0</v>
      </c>
      <c r="U47" s="294"/>
      <c r="V47" s="294"/>
      <c r="W47" s="294"/>
    </row>
    <row r="48" spans="1:23" s="78" customFormat="1" ht="30" customHeight="1">
      <c r="A48" s="74"/>
      <c r="B48" s="430"/>
      <c r="C48" s="435"/>
      <c r="D48" s="338" t="s">
        <v>67</v>
      </c>
      <c r="E48" s="288">
        <v>6000</v>
      </c>
      <c r="F48" s="329">
        <v>61</v>
      </c>
      <c r="G48" s="289">
        <v>0.90133333333333332</v>
      </c>
      <c r="H48" s="293">
        <v>1602</v>
      </c>
      <c r="I48" s="295">
        <v>482</v>
      </c>
      <c r="J48" s="295">
        <v>648</v>
      </c>
      <c r="K48" s="294">
        <v>472</v>
      </c>
      <c r="L48" s="293">
        <v>1222</v>
      </c>
      <c r="M48" s="294">
        <v>534</v>
      </c>
      <c r="N48" s="294">
        <v>365</v>
      </c>
      <c r="O48" s="294">
        <v>323</v>
      </c>
      <c r="P48" s="293">
        <v>1115</v>
      </c>
      <c r="Q48" s="295">
        <v>342</v>
      </c>
      <c r="R48" s="295">
        <v>432</v>
      </c>
      <c r="S48" s="294">
        <v>341</v>
      </c>
      <c r="T48" s="293">
        <v>1469</v>
      </c>
      <c r="U48" s="295">
        <v>487</v>
      </c>
      <c r="V48" s="295">
        <v>561</v>
      </c>
      <c r="W48" s="294">
        <v>421</v>
      </c>
    </row>
    <row r="49" spans="1:23" s="78" customFormat="1" ht="30" customHeight="1">
      <c r="A49" s="74"/>
      <c r="B49" s="430"/>
      <c r="C49" s="435"/>
      <c r="D49" s="338" t="s">
        <v>70</v>
      </c>
      <c r="E49" s="288">
        <v>0</v>
      </c>
      <c r="F49" s="329">
        <v>61</v>
      </c>
      <c r="G49" s="289" t="e">
        <v>#DIV/0!</v>
      </c>
      <c r="H49" s="293">
        <v>0</v>
      </c>
      <c r="I49" s="295"/>
      <c r="J49" s="295"/>
      <c r="K49" s="294"/>
      <c r="L49" s="293">
        <v>0</v>
      </c>
      <c r="M49" s="294"/>
      <c r="N49" s="294"/>
      <c r="O49" s="294"/>
      <c r="P49" s="293">
        <v>0</v>
      </c>
      <c r="Q49" s="295"/>
      <c r="R49" s="295"/>
      <c r="S49" s="294"/>
      <c r="T49" s="293">
        <v>0</v>
      </c>
      <c r="U49" s="295"/>
      <c r="V49" s="295"/>
      <c r="W49" s="294"/>
    </row>
    <row r="50" spans="1:23" s="78" customFormat="1" ht="30" customHeight="1">
      <c r="A50" s="74"/>
      <c r="B50" s="430"/>
      <c r="C50" s="435"/>
      <c r="D50" s="338" t="s">
        <v>71</v>
      </c>
      <c r="E50" s="288">
        <v>1000</v>
      </c>
      <c r="F50" s="329">
        <v>61</v>
      </c>
      <c r="G50" s="289">
        <v>0.82499999999999996</v>
      </c>
      <c r="H50" s="293">
        <v>201</v>
      </c>
      <c r="I50" s="295">
        <v>82</v>
      </c>
      <c r="J50" s="295">
        <v>76</v>
      </c>
      <c r="K50" s="294">
        <v>43</v>
      </c>
      <c r="L50" s="293">
        <v>190</v>
      </c>
      <c r="M50" s="294">
        <v>68</v>
      </c>
      <c r="N50" s="294">
        <v>65</v>
      </c>
      <c r="O50" s="294">
        <v>57</v>
      </c>
      <c r="P50" s="293">
        <v>183</v>
      </c>
      <c r="Q50" s="295">
        <v>54</v>
      </c>
      <c r="R50" s="295">
        <v>76</v>
      </c>
      <c r="S50" s="294">
        <v>53</v>
      </c>
      <c r="T50" s="293">
        <v>251</v>
      </c>
      <c r="U50" s="295">
        <v>71</v>
      </c>
      <c r="V50" s="295">
        <v>88</v>
      </c>
      <c r="W50" s="294">
        <v>92</v>
      </c>
    </row>
    <row r="51" spans="1:23" s="78" customFormat="1" ht="75" customHeight="1">
      <c r="A51" s="74"/>
      <c r="B51" s="430"/>
      <c r="C51" s="435"/>
      <c r="D51" s="341" t="s">
        <v>255</v>
      </c>
      <c r="E51" s="288">
        <v>780</v>
      </c>
      <c r="F51" s="329">
        <v>61</v>
      </c>
      <c r="G51" s="292">
        <v>1.5025641025641026</v>
      </c>
      <c r="H51" s="290">
        <v>291</v>
      </c>
      <c r="I51" s="290">
        <v>97</v>
      </c>
      <c r="J51" s="290">
        <v>100</v>
      </c>
      <c r="K51" s="290">
        <v>94</v>
      </c>
      <c r="L51" s="290">
        <v>310</v>
      </c>
      <c r="M51" s="290">
        <v>106</v>
      </c>
      <c r="N51" s="290">
        <v>109</v>
      </c>
      <c r="O51" s="290">
        <v>95</v>
      </c>
      <c r="P51" s="290">
        <v>277</v>
      </c>
      <c r="Q51" s="290">
        <v>114</v>
      </c>
      <c r="R51" s="290">
        <v>92</v>
      </c>
      <c r="S51" s="290">
        <v>71</v>
      </c>
      <c r="T51" s="290">
        <v>294</v>
      </c>
      <c r="U51" s="290">
        <v>82</v>
      </c>
      <c r="V51" s="290">
        <v>100</v>
      </c>
      <c r="W51" s="290">
        <v>112</v>
      </c>
    </row>
    <row r="52" spans="1:23" s="78" customFormat="1" ht="30" customHeight="1">
      <c r="A52" s="74"/>
      <c r="B52" s="430"/>
      <c r="C52" s="435"/>
      <c r="D52" s="336" t="s">
        <v>67</v>
      </c>
      <c r="E52" s="288">
        <v>260</v>
      </c>
      <c r="F52" s="329">
        <v>61</v>
      </c>
      <c r="G52" s="292">
        <v>1.4692307692307693</v>
      </c>
      <c r="H52" s="290">
        <v>106</v>
      </c>
      <c r="I52" s="291">
        <v>34</v>
      </c>
      <c r="J52" s="291">
        <v>44</v>
      </c>
      <c r="K52" s="291">
        <v>28</v>
      </c>
      <c r="L52" s="290">
        <v>97</v>
      </c>
      <c r="M52" s="291">
        <v>31</v>
      </c>
      <c r="N52" s="291">
        <v>42</v>
      </c>
      <c r="O52" s="291">
        <v>24</v>
      </c>
      <c r="P52" s="290">
        <v>91</v>
      </c>
      <c r="Q52" s="291">
        <v>41</v>
      </c>
      <c r="R52" s="291">
        <v>32</v>
      </c>
      <c r="S52" s="291">
        <v>18</v>
      </c>
      <c r="T52" s="290">
        <v>88</v>
      </c>
      <c r="U52" s="291">
        <v>22</v>
      </c>
      <c r="V52" s="291">
        <v>41</v>
      </c>
      <c r="W52" s="291">
        <v>25</v>
      </c>
    </row>
    <row r="53" spans="1:23" s="78" customFormat="1" ht="30" customHeight="1">
      <c r="A53" s="74"/>
      <c r="B53" s="430"/>
      <c r="C53" s="435"/>
      <c r="D53" s="336" t="s">
        <v>69</v>
      </c>
      <c r="E53" s="288"/>
      <c r="F53" s="329">
        <v>61</v>
      </c>
      <c r="G53" s="292"/>
      <c r="H53" s="290">
        <v>0</v>
      </c>
      <c r="I53" s="291"/>
      <c r="J53" s="291"/>
      <c r="K53" s="291"/>
      <c r="L53" s="290">
        <v>0</v>
      </c>
      <c r="M53" s="291"/>
      <c r="N53" s="291"/>
      <c r="O53" s="291"/>
      <c r="P53" s="290">
        <v>0</v>
      </c>
      <c r="Q53" s="291"/>
      <c r="R53" s="291"/>
      <c r="S53" s="291"/>
      <c r="T53" s="290">
        <v>0</v>
      </c>
      <c r="U53" s="291"/>
      <c r="V53" s="291"/>
      <c r="W53" s="291"/>
    </row>
    <row r="54" spans="1:23" s="78" customFormat="1" ht="30" customHeight="1">
      <c r="A54" s="74"/>
      <c r="B54" s="430"/>
      <c r="C54" s="435"/>
      <c r="D54" s="336" t="s">
        <v>67</v>
      </c>
      <c r="E54" s="288"/>
      <c r="F54" s="329">
        <v>61</v>
      </c>
      <c r="G54" s="292"/>
      <c r="H54" s="290">
        <v>0</v>
      </c>
      <c r="I54" s="291"/>
      <c r="J54" s="291"/>
      <c r="K54" s="291"/>
      <c r="L54" s="290">
        <v>0</v>
      </c>
      <c r="M54" s="291"/>
      <c r="N54" s="291"/>
      <c r="O54" s="291"/>
      <c r="P54" s="290">
        <v>0</v>
      </c>
      <c r="Q54" s="291"/>
      <c r="R54" s="291"/>
      <c r="S54" s="291"/>
      <c r="T54" s="290">
        <v>0</v>
      </c>
      <c r="U54" s="291"/>
      <c r="V54" s="291"/>
      <c r="W54" s="291"/>
    </row>
    <row r="55" spans="1:23" s="78" customFormat="1" ht="30" customHeight="1">
      <c r="A55" s="74"/>
      <c r="B55" s="430"/>
      <c r="C55" s="435"/>
      <c r="D55" s="336" t="s">
        <v>246</v>
      </c>
      <c r="E55" s="288"/>
      <c r="F55" s="329">
        <v>61</v>
      </c>
      <c r="G55" s="292"/>
      <c r="H55" s="290">
        <v>0</v>
      </c>
      <c r="I55" s="291"/>
      <c r="J55" s="291"/>
      <c r="K55" s="291"/>
      <c r="L55" s="290">
        <v>0</v>
      </c>
      <c r="M55" s="291"/>
      <c r="N55" s="291"/>
      <c r="O55" s="291"/>
      <c r="P55" s="290">
        <v>0</v>
      </c>
      <c r="Q55" s="291"/>
      <c r="R55" s="291"/>
      <c r="S55" s="291"/>
      <c r="T55" s="290">
        <v>0</v>
      </c>
      <c r="U55" s="291"/>
      <c r="V55" s="291"/>
      <c r="W55" s="291"/>
    </row>
    <row r="56" spans="1:23" s="78" customFormat="1" ht="30" customHeight="1">
      <c r="A56" s="74"/>
      <c r="B56" s="430"/>
      <c r="C56" s="435"/>
      <c r="D56" s="336" t="s">
        <v>68</v>
      </c>
      <c r="E56" s="288">
        <v>160</v>
      </c>
      <c r="F56" s="329">
        <v>61</v>
      </c>
      <c r="G56" s="292"/>
      <c r="H56" s="290">
        <v>0</v>
      </c>
      <c r="I56" s="291"/>
      <c r="J56" s="291"/>
      <c r="K56" s="291"/>
      <c r="L56" s="290">
        <v>0</v>
      </c>
      <c r="M56" s="291"/>
      <c r="N56" s="291"/>
      <c r="O56" s="291"/>
      <c r="P56" s="290">
        <v>0</v>
      </c>
      <c r="Q56" s="291"/>
      <c r="R56" s="291"/>
      <c r="S56" s="291"/>
      <c r="T56" s="290">
        <v>0</v>
      </c>
      <c r="U56" s="291"/>
      <c r="V56" s="291"/>
      <c r="W56" s="291"/>
    </row>
    <row r="57" spans="1:23" s="78" customFormat="1" ht="30" customHeight="1">
      <c r="A57" s="74"/>
      <c r="B57" s="430"/>
      <c r="C57" s="435"/>
      <c r="D57" s="336" t="s">
        <v>249</v>
      </c>
      <c r="E57" s="342">
        <v>176</v>
      </c>
      <c r="F57" s="329">
        <v>61</v>
      </c>
      <c r="G57" s="292"/>
      <c r="H57" s="290">
        <v>42</v>
      </c>
      <c r="I57" s="291">
        <v>12</v>
      </c>
      <c r="J57" s="291">
        <v>14</v>
      </c>
      <c r="K57" s="291">
        <v>16</v>
      </c>
      <c r="L57" s="290">
        <v>69</v>
      </c>
      <c r="M57" s="291">
        <v>28</v>
      </c>
      <c r="N57" s="291">
        <v>18</v>
      </c>
      <c r="O57" s="291">
        <v>23</v>
      </c>
      <c r="P57" s="290">
        <v>59</v>
      </c>
      <c r="Q57" s="291">
        <v>24</v>
      </c>
      <c r="R57" s="291">
        <v>19</v>
      </c>
      <c r="S57" s="291">
        <v>16</v>
      </c>
      <c r="T57" s="290">
        <v>52</v>
      </c>
      <c r="U57" s="291">
        <v>18</v>
      </c>
      <c r="V57" s="291">
        <v>13</v>
      </c>
      <c r="W57" s="291">
        <v>21</v>
      </c>
    </row>
    <row r="58" spans="1:23" s="78" customFormat="1" ht="30" customHeight="1">
      <c r="A58" s="74"/>
      <c r="B58" s="430"/>
      <c r="C58" s="435"/>
      <c r="D58" s="336" t="s">
        <v>250</v>
      </c>
      <c r="E58" s="342">
        <v>184</v>
      </c>
      <c r="F58" s="329">
        <v>61</v>
      </c>
      <c r="G58" s="289">
        <v>1.1521739130434783</v>
      </c>
      <c r="H58" s="290">
        <v>47</v>
      </c>
      <c r="I58" s="291">
        <v>15</v>
      </c>
      <c r="J58" s="291">
        <v>14</v>
      </c>
      <c r="K58" s="291">
        <v>18</v>
      </c>
      <c r="L58" s="290">
        <v>52</v>
      </c>
      <c r="M58" s="291">
        <v>19</v>
      </c>
      <c r="N58" s="291">
        <v>21</v>
      </c>
      <c r="O58" s="291">
        <v>12</v>
      </c>
      <c r="P58" s="290">
        <v>51</v>
      </c>
      <c r="Q58" s="291">
        <v>21</v>
      </c>
      <c r="R58" s="291">
        <v>15</v>
      </c>
      <c r="S58" s="291">
        <v>15</v>
      </c>
      <c r="T58" s="290">
        <v>62</v>
      </c>
      <c r="U58" s="291">
        <v>14</v>
      </c>
      <c r="V58" s="291">
        <v>24</v>
      </c>
      <c r="W58" s="291">
        <v>24</v>
      </c>
    </row>
    <row r="59" spans="1:23" s="78" customFormat="1" ht="72.5" customHeight="1">
      <c r="A59" s="74"/>
      <c r="B59" s="430"/>
      <c r="C59" s="433" t="s">
        <v>265</v>
      </c>
      <c r="D59" s="341" t="s">
        <v>266</v>
      </c>
      <c r="E59" s="288">
        <v>120</v>
      </c>
      <c r="F59" s="329">
        <v>61</v>
      </c>
      <c r="G59" s="292">
        <v>1.4833333333333334</v>
      </c>
      <c r="H59" s="290">
        <v>48</v>
      </c>
      <c r="I59" s="290">
        <v>18</v>
      </c>
      <c r="J59" s="290">
        <v>14</v>
      </c>
      <c r="K59" s="290">
        <v>16</v>
      </c>
      <c r="L59" s="290">
        <v>46</v>
      </c>
      <c r="M59" s="290">
        <v>14</v>
      </c>
      <c r="N59" s="290">
        <v>14</v>
      </c>
      <c r="O59" s="290">
        <v>18</v>
      </c>
      <c r="P59" s="290">
        <v>38</v>
      </c>
      <c r="Q59" s="290">
        <v>14</v>
      </c>
      <c r="R59" s="290">
        <v>13</v>
      </c>
      <c r="S59" s="290">
        <v>11</v>
      </c>
      <c r="T59" s="290">
        <v>46</v>
      </c>
      <c r="U59" s="290">
        <v>14</v>
      </c>
      <c r="V59" s="290">
        <v>11</v>
      </c>
      <c r="W59" s="290">
        <v>21</v>
      </c>
    </row>
    <row r="60" spans="1:23" s="78" customFormat="1" ht="30" customHeight="1">
      <c r="A60" s="74"/>
      <c r="B60" s="430"/>
      <c r="C60" s="430"/>
      <c r="D60" s="355" t="s">
        <v>67</v>
      </c>
      <c r="E60" s="342">
        <v>40</v>
      </c>
      <c r="F60" s="329">
        <v>61</v>
      </c>
      <c r="G60" s="289">
        <v>1</v>
      </c>
      <c r="H60" s="290">
        <v>12</v>
      </c>
      <c r="I60" s="291">
        <v>4</v>
      </c>
      <c r="J60" s="291">
        <v>4</v>
      </c>
      <c r="K60" s="291">
        <v>4</v>
      </c>
      <c r="L60" s="290">
        <v>8</v>
      </c>
      <c r="M60" s="291">
        <v>0</v>
      </c>
      <c r="N60" s="291">
        <v>4</v>
      </c>
      <c r="O60" s="291">
        <v>4</v>
      </c>
      <c r="P60" s="290">
        <v>8</v>
      </c>
      <c r="Q60" s="291">
        <v>4</v>
      </c>
      <c r="R60" s="291">
        <v>0</v>
      </c>
      <c r="S60" s="291">
        <v>4</v>
      </c>
      <c r="T60" s="290">
        <v>12</v>
      </c>
      <c r="U60" s="291">
        <v>4</v>
      </c>
      <c r="V60" s="291">
        <v>4</v>
      </c>
      <c r="W60" s="291">
        <v>4</v>
      </c>
    </row>
    <row r="61" spans="1:23" s="78" customFormat="1" ht="30" customHeight="1">
      <c r="A61" s="74"/>
      <c r="B61" s="430"/>
      <c r="C61" s="430"/>
      <c r="D61" s="355" t="s">
        <v>69</v>
      </c>
      <c r="E61" s="342">
        <v>40</v>
      </c>
      <c r="F61" s="329">
        <v>61</v>
      </c>
      <c r="G61" s="289">
        <v>1</v>
      </c>
      <c r="H61" s="290">
        <v>8</v>
      </c>
      <c r="I61" s="291">
        <v>4</v>
      </c>
      <c r="J61" s="291">
        <v>0</v>
      </c>
      <c r="K61" s="291">
        <v>4</v>
      </c>
      <c r="L61" s="290">
        <v>12</v>
      </c>
      <c r="M61" s="291">
        <v>4</v>
      </c>
      <c r="N61" s="291">
        <v>4</v>
      </c>
      <c r="O61" s="291">
        <v>4</v>
      </c>
      <c r="P61" s="290">
        <v>8</v>
      </c>
      <c r="Q61" s="291">
        <v>0</v>
      </c>
      <c r="R61" s="291">
        <v>4</v>
      </c>
      <c r="S61" s="291">
        <v>4</v>
      </c>
      <c r="T61" s="290">
        <v>12</v>
      </c>
      <c r="U61" s="291">
        <v>4</v>
      </c>
      <c r="V61" s="291">
        <v>4</v>
      </c>
      <c r="W61" s="291">
        <v>4</v>
      </c>
    </row>
    <row r="62" spans="1:23" s="78" customFormat="1" ht="30" customHeight="1">
      <c r="A62" s="74"/>
      <c r="B62" s="430"/>
      <c r="C62" s="430"/>
      <c r="D62" s="355" t="s">
        <v>246</v>
      </c>
      <c r="E62" s="342">
        <v>20</v>
      </c>
      <c r="F62" s="329">
        <v>61</v>
      </c>
      <c r="G62" s="289">
        <v>0.6</v>
      </c>
      <c r="H62" s="290">
        <v>6</v>
      </c>
      <c r="I62" s="291">
        <v>2</v>
      </c>
      <c r="J62" s="291">
        <v>2</v>
      </c>
      <c r="K62" s="291">
        <v>2</v>
      </c>
      <c r="L62" s="290">
        <v>6</v>
      </c>
      <c r="M62" s="291">
        <v>2</v>
      </c>
      <c r="N62" s="291">
        <v>2</v>
      </c>
      <c r="O62" s="291">
        <v>2</v>
      </c>
      <c r="P62" s="290"/>
      <c r="Q62" s="291">
        <v>2</v>
      </c>
      <c r="R62" s="291">
        <v>2</v>
      </c>
      <c r="S62" s="291">
        <v>2</v>
      </c>
      <c r="T62" s="290"/>
      <c r="U62" s="291"/>
      <c r="V62" s="291"/>
      <c r="W62" s="291"/>
    </row>
    <row r="63" spans="1:23" s="78" customFormat="1" ht="30" customHeight="1" thickBot="1">
      <c r="A63" s="74"/>
      <c r="B63" s="430"/>
      <c r="C63" s="430"/>
      <c r="D63" s="355" t="s">
        <v>68</v>
      </c>
      <c r="E63" s="342">
        <v>20</v>
      </c>
      <c r="F63" s="329">
        <v>61</v>
      </c>
      <c r="G63" s="289">
        <v>1</v>
      </c>
      <c r="H63" s="290">
        <v>6</v>
      </c>
      <c r="I63" s="291">
        <v>2</v>
      </c>
      <c r="J63" s="291">
        <v>2</v>
      </c>
      <c r="K63" s="291">
        <v>2</v>
      </c>
      <c r="L63" s="290">
        <v>6</v>
      </c>
      <c r="M63" s="291">
        <v>2</v>
      </c>
      <c r="N63" s="291">
        <v>2</v>
      </c>
      <c r="O63" s="291">
        <v>2</v>
      </c>
      <c r="P63" s="290">
        <v>4</v>
      </c>
      <c r="Q63" s="291">
        <v>2</v>
      </c>
      <c r="R63" s="291">
        <v>1</v>
      </c>
      <c r="S63" s="291">
        <v>1</v>
      </c>
      <c r="T63" s="290">
        <v>4</v>
      </c>
      <c r="U63" s="291">
        <v>2</v>
      </c>
      <c r="V63" s="291">
        <v>1</v>
      </c>
      <c r="W63" s="291">
        <v>1</v>
      </c>
    </row>
    <row r="64" spans="1:23" s="78" customFormat="1" ht="59.25" customHeight="1">
      <c r="A64" s="74"/>
      <c r="B64" s="430"/>
      <c r="C64" s="430"/>
      <c r="D64" s="372" t="s">
        <v>271</v>
      </c>
      <c r="E64" s="364">
        <v>30</v>
      </c>
      <c r="F64" s="329">
        <v>61</v>
      </c>
      <c r="G64" s="365">
        <v>1</v>
      </c>
      <c r="H64" s="366">
        <v>8</v>
      </c>
      <c r="I64" s="290">
        <v>3</v>
      </c>
      <c r="J64" s="290">
        <v>3</v>
      </c>
      <c r="K64" s="290">
        <v>2</v>
      </c>
      <c r="L64" s="290">
        <v>7</v>
      </c>
      <c r="M64" s="290">
        <v>3</v>
      </c>
      <c r="N64" s="290">
        <v>1</v>
      </c>
      <c r="O64" s="290">
        <v>3</v>
      </c>
      <c r="P64" s="290">
        <v>6</v>
      </c>
      <c r="Q64" s="290">
        <v>3</v>
      </c>
      <c r="R64" s="290">
        <v>3</v>
      </c>
      <c r="S64" s="290">
        <v>0</v>
      </c>
      <c r="T64" s="366">
        <v>9</v>
      </c>
      <c r="U64" s="290">
        <v>2</v>
      </c>
      <c r="V64" s="290">
        <v>1</v>
      </c>
      <c r="W64" s="327">
        <v>6</v>
      </c>
    </row>
    <row r="65" spans="1:23" s="78" customFormat="1" ht="30" customHeight="1">
      <c r="A65" s="74"/>
      <c r="B65" s="430"/>
      <c r="C65" s="430"/>
      <c r="D65" s="367" t="s">
        <v>69</v>
      </c>
      <c r="E65" s="364">
        <v>10</v>
      </c>
      <c r="F65" s="329">
        <v>61</v>
      </c>
      <c r="G65" s="368">
        <v>1</v>
      </c>
      <c r="H65" s="290">
        <v>2</v>
      </c>
      <c r="I65" s="291">
        <v>1</v>
      </c>
      <c r="J65" s="291">
        <v>1</v>
      </c>
      <c r="K65" s="291"/>
      <c r="L65" s="290">
        <v>3</v>
      </c>
      <c r="M65" s="291">
        <v>1</v>
      </c>
      <c r="N65" s="291">
        <v>1</v>
      </c>
      <c r="O65" s="291">
        <v>1</v>
      </c>
      <c r="P65" s="290">
        <v>3</v>
      </c>
      <c r="Q65" s="291">
        <v>1</v>
      </c>
      <c r="R65" s="291">
        <v>2</v>
      </c>
      <c r="S65" s="291"/>
      <c r="T65" s="366">
        <v>2</v>
      </c>
      <c r="U65" s="291"/>
      <c r="V65" s="291"/>
      <c r="W65" s="291">
        <v>2</v>
      </c>
    </row>
    <row r="66" spans="1:23" s="78" customFormat="1" ht="30" customHeight="1" thickBot="1">
      <c r="A66" s="74"/>
      <c r="B66" s="430"/>
      <c r="C66" s="430"/>
      <c r="D66" s="369" t="s">
        <v>67</v>
      </c>
      <c r="E66" s="370">
        <v>20</v>
      </c>
      <c r="F66" s="329">
        <v>61</v>
      </c>
      <c r="G66" s="371">
        <v>1</v>
      </c>
      <c r="H66" s="290">
        <v>6</v>
      </c>
      <c r="I66" s="291">
        <v>2</v>
      </c>
      <c r="J66" s="291">
        <v>2</v>
      </c>
      <c r="K66" s="291">
        <v>2</v>
      </c>
      <c r="L66" s="290">
        <v>4</v>
      </c>
      <c r="M66" s="291">
        <v>2</v>
      </c>
      <c r="N66" s="291"/>
      <c r="O66" s="291">
        <v>2</v>
      </c>
      <c r="P66" s="290">
        <v>3</v>
      </c>
      <c r="Q66" s="291">
        <v>2</v>
      </c>
      <c r="R66" s="291">
        <v>1</v>
      </c>
      <c r="S66" s="291"/>
      <c r="T66" s="290">
        <v>7</v>
      </c>
      <c r="U66" s="291">
        <v>2</v>
      </c>
      <c r="V66" s="291">
        <v>1</v>
      </c>
      <c r="W66" s="291">
        <v>4</v>
      </c>
    </row>
    <row r="67" spans="1:23" s="78" customFormat="1" ht="12" customHeight="1">
      <c r="A67" s="74"/>
      <c r="B67" s="84"/>
      <c r="C67" s="84"/>
      <c r="D67" s="84"/>
      <c r="E67" s="84"/>
      <c r="F67" s="304"/>
      <c r="G67" s="84"/>
      <c r="H67" s="84"/>
      <c r="I67" s="84"/>
      <c r="J67" s="84"/>
      <c r="K67" s="84"/>
      <c r="L67" s="84"/>
      <c r="M67" s="84"/>
      <c r="N67" s="84"/>
      <c r="O67" s="84"/>
      <c r="P67" s="84"/>
      <c r="Q67" s="84"/>
      <c r="R67" s="84"/>
      <c r="S67" s="84"/>
      <c r="T67" s="84"/>
      <c r="U67" s="83"/>
      <c r="V67" s="83"/>
      <c r="W67" s="83"/>
    </row>
    <row r="68" spans="1:23" s="125" customFormat="1" ht="41.25" customHeight="1">
      <c r="A68" s="121"/>
      <c r="B68" s="24" t="s">
        <v>58</v>
      </c>
      <c r="C68" s="122"/>
      <c r="D68" s="122"/>
      <c r="E68" s="122"/>
      <c r="F68" s="310"/>
      <c r="G68" s="122"/>
      <c r="H68" s="123"/>
      <c r="I68" s="123"/>
      <c r="J68" s="123"/>
      <c r="K68" s="123"/>
      <c r="L68" s="123"/>
      <c r="M68" s="123"/>
      <c r="N68" s="123"/>
      <c r="O68" s="123"/>
      <c r="P68" s="123"/>
      <c r="Q68" s="123"/>
      <c r="R68" s="123"/>
      <c r="S68" s="123"/>
      <c r="T68" s="123"/>
      <c r="U68" s="123"/>
      <c r="V68" s="123"/>
      <c r="W68" s="123"/>
    </row>
    <row r="69" spans="1:23" s="125" customFormat="1" ht="17.649999999999999" customHeight="1" thickBot="1">
      <c r="A69" s="121"/>
      <c r="B69" s="24"/>
      <c r="C69" s="122"/>
      <c r="D69" s="122"/>
      <c r="E69" s="122"/>
      <c r="F69" s="310"/>
      <c r="G69" s="122"/>
      <c r="H69" s="123"/>
      <c r="I69" s="123"/>
      <c r="J69" s="123"/>
      <c r="K69" s="123"/>
      <c r="L69" s="123"/>
      <c r="M69" s="123"/>
      <c r="N69" s="123"/>
      <c r="O69" s="123"/>
      <c r="P69" s="123"/>
      <c r="Q69" s="123"/>
      <c r="R69" s="123"/>
      <c r="S69" s="123"/>
      <c r="T69" s="123"/>
      <c r="U69" s="123"/>
      <c r="V69" s="123"/>
      <c r="W69" s="123"/>
    </row>
    <row r="70" spans="1:23" s="78" customFormat="1" ht="57.75" customHeight="1" thickBot="1">
      <c r="A70" s="74"/>
      <c r="B70" s="414" t="s">
        <v>59</v>
      </c>
      <c r="C70" s="419"/>
      <c r="D70" s="420"/>
      <c r="E70" s="215" t="s">
        <v>55</v>
      </c>
      <c r="F70" s="311" t="s">
        <v>56</v>
      </c>
      <c r="G70" s="284" t="s">
        <v>57</v>
      </c>
      <c r="H70" s="286" t="s">
        <v>63</v>
      </c>
      <c r="I70" s="287">
        <v>45170</v>
      </c>
      <c r="J70" s="287">
        <v>45200</v>
      </c>
      <c r="K70" s="287">
        <v>45231</v>
      </c>
      <c r="L70" s="286" t="s">
        <v>64</v>
      </c>
      <c r="M70" s="287">
        <v>45261</v>
      </c>
      <c r="N70" s="286">
        <v>45292</v>
      </c>
      <c r="O70" s="287">
        <v>45323</v>
      </c>
      <c r="P70" s="286" t="s">
        <v>65</v>
      </c>
      <c r="Q70" s="287">
        <v>45352</v>
      </c>
      <c r="R70" s="287">
        <v>45383</v>
      </c>
      <c r="S70" s="287">
        <v>45413</v>
      </c>
      <c r="T70" s="287" t="s">
        <v>66</v>
      </c>
      <c r="U70" s="286">
        <v>45444</v>
      </c>
      <c r="V70" s="287">
        <v>45474</v>
      </c>
      <c r="W70" s="287">
        <v>45505</v>
      </c>
    </row>
    <row r="71" spans="1:23" s="78" customFormat="1" ht="42.75" customHeight="1" thickBot="1">
      <c r="A71" s="74"/>
      <c r="B71" s="421" t="s">
        <v>72</v>
      </c>
      <c r="C71" s="424" t="s">
        <v>73</v>
      </c>
      <c r="D71" s="425"/>
      <c r="E71" s="357">
        <f t="shared" ref="E71:W71" si="0">E30</f>
        <v>168</v>
      </c>
      <c r="F71" s="357">
        <f t="shared" si="0"/>
        <v>426</v>
      </c>
      <c r="G71" s="192">
        <f t="shared" si="0"/>
        <v>2.5357142857142856</v>
      </c>
      <c r="H71" s="360">
        <f t="shared" si="0"/>
        <v>69</v>
      </c>
      <c r="I71" s="360">
        <f t="shared" si="0"/>
        <v>52</v>
      </c>
      <c r="J71" s="360">
        <f t="shared" si="0"/>
        <v>17</v>
      </c>
      <c r="K71" s="360">
        <f t="shared" si="0"/>
        <v>67</v>
      </c>
      <c r="L71" s="360">
        <f t="shared" si="0"/>
        <v>116</v>
      </c>
      <c r="M71" s="360">
        <f t="shared" si="0"/>
        <v>52</v>
      </c>
      <c r="N71" s="360">
        <f t="shared" si="0"/>
        <v>17</v>
      </c>
      <c r="O71" s="360">
        <f t="shared" si="0"/>
        <v>47</v>
      </c>
      <c r="P71" s="360">
        <f t="shared" si="0"/>
        <v>138</v>
      </c>
      <c r="Q71" s="360">
        <f t="shared" si="0"/>
        <v>48</v>
      </c>
      <c r="R71" s="360">
        <f t="shared" si="0"/>
        <v>27</v>
      </c>
      <c r="S71" s="360">
        <f t="shared" si="0"/>
        <v>63</v>
      </c>
      <c r="T71" s="360">
        <f t="shared" si="0"/>
        <v>103</v>
      </c>
      <c r="U71" s="360">
        <f t="shared" si="0"/>
        <v>52</v>
      </c>
      <c r="V71" s="360">
        <f t="shared" si="0"/>
        <v>28</v>
      </c>
      <c r="W71" s="360">
        <f t="shared" si="0"/>
        <v>57</v>
      </c>
    </row>
    <row r="72" spans="1:23" s="78" customFormat="1" ht="75" customHeight="1">
      <c r="A72" s="74"/>
      <c r="B72" s="422"/>
      <c r="C72" s="426" t="s">
        <v>74</v>
      </c>
      <c r="D72" s="427"/>
      <c r="E72" s="129">
        <f>E30</f>
        <v>168</v>
      </c>
      <c r="F72" s="358">
        <f>F30</f>
        <v>426</v>
      </c>
      <c r="G72" s="196">
        <f>IF(ISBLANK(E72),"",F72/E72)</f>
        <v>2.5357142857142856</v>
      </c>
      <c r="H72" s="359">
        <f t="shared" ref="H72:W72" si="1">SUM(H31:H34)</f>
        <v>69</v>
      </c>
      <c r="I72" s="361">
        <f t="shared" si="1"/>
        <v>52</v>
      </c>
      <c r="J72" s="361">
        <f t="shared" si="1"/>
        <v>17</v>
      </c>
      <c r="K72" s="361">
        <f t="shared" si="1"/>
        <v>67</v>
      </c>
      <c r="L72" s="359">
        <f t="shared" si="1"/>
        <v>116</v>
      </c>
      <c r="M72" s="361">
        <f t="shared" si="1"/>
        <v>52</v>
      </c>
      <c r="N72" s="361">
        <f t="shared" si="1"/>
        <v>17</v>
      </c>
      <c r="O72" s="361">
        <f t="shared" si="1"/>
        <v>47</v>
      </c>
      <c r="P72" s="359">
        <f t="shared" si="1"/>
        <v>138</v>
      </c>
      <c r="Q72" s="361">
        <f t="shared" si="1"/>
        <v>48</v>
      </c>
      <c r="R72" s="361">
        <f t="shared" si="1"/>
        <v>27</v>
      </c>
      <c r="S72" s="361">
        <f t="shared" si="1"/>
        <v>63</v>
      </c>
      <c r="T72" s="359">
        <f t="shared" si="1"/>
        <v>103</v>
      </c>
      <c r="U72" s="361">
        <f t="shared" si="1"/>
        <v>52</v>
      </c>
      <c r="V72" s="361">
        <f t="shared" si="1"/>
        <v>28</v>
      </c>
      <c r="W72" s="361">
        <f t="shared" si="1"/>
        <v>57</v>
      </c>
    </row>
    <row r="73" spans="1:23" s="78" customFormat="1" ht="28.5" customHeight="1" thickBot="1">
      <c r="A73" s="74"/>
      <c r="B73" s="423"/>
      <c r="C73" s="428" t="s">
        <v>75</v>
      </c>
      <c r="D73" s="429"/>
      <c r="E73" s="130">
        <f>E41</f>
        <v>1937</v>
      </c>
      <c r="F73" s="362">
        <f>F41</f>
        <v>61</v>
      </c>
      <c r="G73" s="198">
        <f>IF(ISBLANK(E73),"",F73/E73)</f>
        <v>3.1491997934950958E-2</v>
      </c>
      <c r="H73" s="363">
        <f t="shared" ref="H73:W73" si="2">H41</f>
        <v>3415</v>
      </c>
      <c r="I73" s="363">
        <f t="shared" si="2"/>
        <v>1049</v>
      </c>
      <c r="J73" s="363">
        <f t="shared" si="2"/>
        <v>1374</v>
      </c>
      <c r="K73" s="363">
        <f t="shared" si="2"/>
        <v>992</v>
      </c>
      <c r="L73" s="363">
        <f t="shared" si="2"/>
        <v>2651</v>
      </c>
      <c r="M73" s="363">
        <f t="shared" si="2"/>
        <v>1140</v>
      </c>
      <c r="N73" s="363">
        <f t="shared" si="2"/>
        <v>802</v>
      </c>
      <c r="O73" s="363">
        <f t="shared" si="2"/>
        <v>709</v>
      </c>
      <c r="P73" s="363">
        <f t="shared" si="2"/>
        <v>2427</v>
      </c>
      <c r="Q73" s="363">
        <f t="shared" si="2"/>
        <v>741</v>
      </c>
      <c r="R73" s="363">
        <f t="shared" si="2"/>
        <v>943</v>
      </c>
      <c r="S73" s="363">
        <f t="shared" si="2"/>
        <v>743</v>
      </c>
      <c r="T73" s="363">
        <f t="shared" si="2"/>
        <v>3210</v>
      </c>
      <c r="U73" s="363">
        <f t="shared" si="2"/>
        <v>1057</v>
      </c>
      <c r="V73" s="363">
        <f t="shared" si="2"/>
        <v>1214</v>
      </c>
      <c r="W73" s="363">
        <f t="shared" si="2"/>
        <v>939</v>
      </c>
    </row>
    <row r="74" spans="1:23" s="78" customFormat="1" ht="14.5" thickBot="1">
      <c r="A74" s="74"/>
      <c r="B74" s="76"/>
      <c r="C74" s="76"/>
      <c r="D74" s="76"/>
      <c r="E74" s="304"/>
      <c r="F74" s="304"/>
      <c r="G74" s="76"/>
      <c r="H74" s="76"/>
      <c r="I74" s="76"/>
      <c r="J74" s="76"/>
      <c r="K74" s="76"/>
      <c r="L74" s="76"/>
      <c r="M74" s="76"/>
      <c r="N74" s="76"/>
      <c r="O74" s="76"/>
      <c r="P74" s="76"/>
      <c r="Q74" s="76"/>
      <c r="R74" s="76"/>
      <c r="S74" s="76"/>
      <c r="T74" s="76"/>
      <c r="U74" s="76"/>
      <c r="V74" s="76"/>
      <c r="W74" s="76"/>
    </row>
    <row r="75" spans="1:23" s="125" customFormat="1" ht="49.5" customHeight="1" thickBot="1">
      <c r="A75" s="121"/>
      <c r="B75" s="414" t="s">
        <v>76</v>
      </c>
      <c r="C75" s="415"/>
      <c r="D75" s="416"/>
      <c r="E75" s="215" t="s">
        <v>55</v>
      </c>
      <c r="F75" s="311" t="s">
        <v>56</v>
      </c>
      <c r="G75" s="217" t="s">
        <v>57</v>
      </c>
      <c r="H75" s="286" t="s">
        <v>63</v>
      </c>
      <c r="I75" s="287">
        <v>45170</v>
      </c>
      <c r="J75" s="287">
        <v>45200</v>
      </c>
      <c r="K75" s="287">
        <v>45231</v>
      </c>
      <c r="L75" s="286" t="s">
        <v>64</v>
      </c>
      <c r="M75" s="287">
        <v>45261</v>
      </c>
      <c r="N75" s="286">
        <v>45292</v>
      </c>
      <c r="O75" s="287">
        <v>45323</v>
      </c>
      <c r="P75" s="286" t="s">
        <v>65</v>
      </c>
      <c r="Q75" s="287">
        <v>45352</v>
      </c>
      <c r="R75" s="287">
        <v>45383</v>
      </c>
      <c r="S75" s="287">
        <v>45413</v>
      </c>
      <c r="T75" s="287" t="s">
        <v>66</v>
      </c>
      <c r="U75" s="286">
        <v>45444</v>
      </c>
      <c r="V75" s="287">
        <v>45474</v>
      </c>
      <c r="W75" s="287">
        <v>45505</v>
      </c>
    </row>
    <row r="76" spans="1:23" s="125" customFormat="1" ht="13.5" customHeight="1">
      <c r="A76" s="121"/>
      <c r="B76" s="80"/>
      <c r="C76" s="122"/>
      <c r="D76" s="122"/>
      <c r="E76" s="122"/>
      <c r="F76" s="310"/>
      <c r="G76" s="122"/>
      <c r="H76" s="123"/>
      <c r="I76" s="123"/>
      <c r="J76" s="123"/>
      <c r="K76" s="123"/>
      <c r="L76" s="123"/>
      <c r="M76" s="123"/>
      <c r="N76" s="123"/>
      <c r="O76" s="123"/>
      <c r="P76" s="123"/>
      <c r="Q76" s="123"/>
      <c r="R76" s="123"/>
      <c r="S76" s="123"/>
      <c r="T76" s="123"/>
      <c r="U76" s="123"/>
      <c r="V76" s="123"/>
      <c r="W76" s="123"/>
    </row>
    <row r="77" spans="1:23" s="125" customFormat="1" ht="13.5" customHeight="1" thickBot="1">
      <c r="A77" s="121"/>
      <c r="B77" s="80"/>
      <c r="C77" s="122"/>
      <c r="D77" s="122"/>
      <c r="E77" s="122"/>
      <c r="F77" s="310"/>
      <c r="G77" s="122"/>
      <c r="H77" s="123"/>
      <c r="I77" s="123"/>
      <c r="J77" s="123"/>
      <c r="K77" s="123"/>
      <c r="L77" s="123"/>
      <c r="M77" s="123"/>
      <c r="N77" s="123"/>
      <c r="O77" s="123"/>
      <c r="P77" s="123"/>
      <c r="Q77" s="123"/>
      <c r="R77" s="123"/>
      <c r="S77" s="123"/>
      <c r="T77" s="123"/>
      <c r="U77" s="123"/>
      <c r="V77" s="123"/>
      <c r="W77" s="123"/>
    </row>
    <row r="78" spans="1:23" s="78" customFormat="1" ht="60.75" customHeight="1" thickBot="1">
      <c r="A78" s="74"/>
      <c r="B78" s="411" t="s">
        <v>61</v>
      </c>
      <c r="C78" s="412"/>
      <c r="D78" s="413"/>
      <c r="E78" s="205" t="s">
        <v>55</v>
      </c>
      <c r="F78" s="314" t="s">
        <v>56</v>
      </c>
      <c r="G78" s="229" t="s">
        <v>57</v>
      </c>
      <c r="H78" s="286" t="s">
        <v>63</v>
      </c>
      <c r="I78" s="287">
        <v>45170</v>
      </c>
      <c r="J78" s="287">
        <v>45200</v>
      </c>
      <c r="K78" s="287">
        <v>45231</v>
      </c>
      <c r="L78" s="286" t="s">
        <v>64</v>
      </c>
      <c r="M78" s="287">
        <v>45261</v>
      </c>
      <c r="N78" s="286">
        <v>45292</v>
      </c>
      <c r="O78" s="287">
        <v>45323</v>
      </c>
      <c r="P78" s="286" t="s">
        <v>65</v>
      </c>
      <c r="Q78" s="287">
        <v>45352</v>
      </c>
      <c r="R78" s="287">
        <v>45383</v>
      </c>
      <c r="S78" s="287">
        <v>45413</v>
      </c>
      <c r="T78" s="287" t="s">
        <v>66</v>
      </c>
      <c r="U78" s="286">
        <v>45444</v>
      </c>
      <c r="V78" s="287">
        <v>45474</v>
      </c>
      <c r="W78" s="287">
        <v>45505</v>
      </c>
    </row>
    <row r="79" spans="1:23" s="125" customFormat="1" ht="33" customHeight="1">
      <c r="A79" s="121"/>
      <c r="B79" s="436" t="s">
        <v>276</v>
      </c>
      <c r="C79" s="424" t="s">
        <v>77</v>
      </c>
      <c r="D79" s="439"/>
      <c r="E79" s="247">
        <f>E41</f>
        <v>1937</v>
      </c>
      <c r="F79" s="313">
        <f>SUM(F80:F85)</f>
        <v>1068</v>
      </c>
      <c r="G79" s="192">
        <f>IF(ISERROR(F79/E79),"",F79/E79)</f>
        <v>0.55136809499225603</v>
      </c>
      <c r="H79" s="290">
        <f>H41</f>
        <v>3415</v>
      </c>
      <c r="I79" s="290">
        <f t="shared" ref="I79:W79" si="3">I41</f>
        <v>1049</v>
      </c>
      <c r="J79" s="290">
        <f t="shared" si="3"/>
        <v>1374</v>
      </c>
      <c r="K79" s="290">
        <f t="shared" si="3"/>
        <v>992</v>
      </c>
      <c r="L79" s="290">
        <f t="shared" si="3"/>
        <v>2651</v>
      </c>
      <c r="M79" s="290">
        <f t="shared" si="3"/>
        <v>1140</v>
      </c>
      <c r="N79" s="290">
        <f t="shared" si="3"/>
        <v>802</v>
      </c>
      <c r="O79" s="290">
        <f t="shared" si="3"/>
        <v>709</v>
      </c>
      <c r="P79" s="290">
        <f t="shared" si="3"/>
        <v>2427</v>
      </c>
      <c r="Q79" s="290">
        <f t="shared" si="3"/>
        <v>741</v>
      </c>
      <c r="R79" s="290">
        <f t="shared" si="3"/>
        <v>943</v>
      </c>
      <c r="S79" s="290">
        <f t="shared" si="3"/>
        <v>743</v>
      </c>
      <c r="T79" s="290">
        <f t="shared" si="3"/>
        <v>3210</v>
      </c>
      <c r="U79" s="290">
        <f t="shared" si="3"/>
        <v>1057</v>
      </c>
      <c r="V79" s="290">
        <f t="shared" si="3"/>
        <v>1214</v>
      </c>
      <c r="W79" s="290">
        <f t="shared" si="3"/>
        <v>939</v>
      </c>
    </row>
    <row r="80" spans="1:23" s="125" customFormat="1" ht="29.25" customHeight="1">
      <c r="A80" s="121"/>
      <c r="B80" s="437"/>
      <c r="C80" s="440" t="s">
        <v>78</v>
      </c>
      <c r="D80" s="441"/>
      <c r="E80" s="291">
        <f>E42</f>
        <v>880</v>
      </c>
      <c r="F80" s="309">
        <f>SUM(F81:F85)</f>
        <v>534</v>
      </c>
      <c r="G80" s="235">
        <f t="shared" ref="G80:G87" si="4">IF(ISBLANK(E80),"",F80/E80)</f>
        <v>0.60681818181818181</v>
      </c>
      <c r="H80" s="290">
        <f>H42</f>
        <v>231</v>
      </c>
      <c r="I80" s="113">
        <f t="shared" ref="I80:W80" si="5">I42</f>
        <v>98</v>
      </c>
      <c r="J80" s="113">
        <f t="shared" si="5"/>
        <v>73</v>
      </c>
      <c r="K80" s="113">
        <f t="shared" si="5"/>
        <v>60</v>
      </c>
      <c r="L80" s="290">
        <f t="shared" si="5"/>
        <v>239</v>
      </c>
      <c r="M80" s="291">
        <f t="shared" si="5"/>
        <v>59</v>
      </c>
      <c r="N80" s="291">
        <f t="shared" si="5"/>
        <v>109</v>
      </c>
      <c r="O80" s="291">
        <f t="shared" si="5"/>
        <v>71</v>
      </c>
      <c r="P80" s="290">
        <f t="shared" si="5"/>
        <v>257</v>
      </c>
      <c r="Q80" s="291">
        <f t="shared" si="5"/>
        <v>90</v>
      </c>
      <c r="R80" s="291">
        <f t="shared" si="5"/>
        <v>81</v>
      </c>
      <c r="S80" s="291">
        <f t="shared" si="5"/>
        <v>86</v>
      </c>
      <c r="T80" s="290">
        <f t="shared" si="5"/>
        <v>537</v>
      </c>
      <c r="U80" s="291">
        <f t="shared" si="5"/>
        <v>273</v>
      </c>
      <c r="V80" s="291">
        <f t="shared" si="5"/>
        <v>118</v>
      </c>
      <c r="W80" s="291">
        <f t="shared" si="5"/>
        <v>146</v>
      </c>
    </row>
    <row r="81" spans="1:23" s="125" customFormat="1" ht="21" customHeight="1">
      <c r="A81" s="121"/>
      <c r="B81" s="437"/>
      <c r="C81" s="442" t="s">
        <v>79</v>
      </c>
      <c r="D81" s="443"/>
      <c r="E81" s="291">
        <f t="shared" ref="E81:E83" si="6">E43</f>
        <v>880</v>
      </c>
      <c r="F81" s="309">
        <f>F25</f>
        <v>329</v>
      </c>
      <c r="G81" s="235">
        <f t="shared" si="4"/>
        <v>0.37386363636363634</v>
      </c>
      <c r="H81" s="290">
        <f t="shared" ref="H81:H83" si="7">H43</f>
        <v>164</v>
      </c>
      <c r="I81" s="291">
        <f t="shared" ref="I81:W81" si="8">I43</f>
        <v>66</v>
      </c>
      <c r="J81" s="291">
        <f t="shared" si="8"/>
        <v>49</v>
      </c>
      <c r="K81" s="291">
        <f t="shared" si="8"/>
        <v>49</v>
      </c>
      <c r="L81" s="290">
        <f t="shared" si="8"/>
        <v>140</v>
      </c>
      <c r="M81" s="291">
        <f t="shared" si="8"/>
        <v>33</v>
      </c>
      <c r="N81" s="291">
        <f t="shared" si="8"/>
        <v>56</v>
      </c>
      <c r="O81" s="291">
        <f t="shared" si="8"/>
        <v>51</v>
      </c>
      <c r="P81" s="290">
        <f t="shared" si="8"/>
        <v>163</v>
      </c>
      <c r="Q81" s="291">
        <f t="shared" si="8"/>
        <v>51</v>
      </c>
      <c r="R81" s="291">
        <f t="shared" si="8"/>
        <v>45</v>
      </c>
      <c r="S81" s="291">
        <f t="shared" si="8"/>
        <v>67</v>
      </c>
      <c r="T81" s="290">
        <f t="shared" si="8"/>
        <v>245</v>
      </c>
      <c r="U81" s="291">
        <f t="shared" si="8"/>
        <v>99</v>
      </c>
      <c r="V81" s="291">
        <f t="shared" si="8"/>
        <v>72</v>
      </c>
      <c r="W81" s="291">
        <f t="shared" si="8"/>
        <v>74</v>
      </c>
    </row>
    <row r="82" spans="1:23" s="78" customFormat="1" ht="18.75" customHeight="1">
      <c r="A82" s="74"/>
      <c r="B82" s="437"/>
      <c r="C82" s="444" t="s">
        <v>80</v>
      </c>
      <c r="D82" s="445"/>
      <c r="E82" s="291">
        <f t="shared" si="6"/>
        <v>88</v>
      </c>
      <c r="F82" s="309">
        <f>F26</f>
        <v>91</v>
      </c>
      <c r="G82" s="235">
        <f>IF(ISBLANK(E82),"",F82/E82)</f>
        <v>1.0340909090909092</v>
      </c>
      <c r="H82" s="290">
        <f t="shared" si="7"/>
        <v>15</v>
      </c>
      <c r="I82" s="291">
        <f t="shared" ref="I82:W82" si="9">I44</f>
        <v>4</v>
      </c>
      <c r="J82" s="291">
        <f t="shared" si="9"/>
        <v>4</v>
      </c>
      <c r="K82" s="291">
        <f t="shared" si="9"/>
        <v>7</v>
      </c>
      <c r="L82" s="290">
        <f t="shared" si="9"/>
        <v>27</v>
      </c>
      <c r="M82" s="291">
        <f t="shared" si="9"/>
        <v>4</v>
      </c>
      <c r="N82" s="291">
        <f t="shared" si="9"/>
        <v>15</v>
      </c>
      <c r="O82" s="291">
        <f t="shared" si="9"/>
        <v>8</v>
      </c>
      <c r="P82" s="290">
        <f t="shared" si="9"/>
        <v>40</v>
      </c>
      <c r="Q82" s="291">
        <f t="shared" si="9"/>
        <v>16</v>
      </c>
      <c r="R82" s="291">
        <f t="shared" si="9"/>
        <v>5</v>
      </c>
      <c r="S82" s="291">
        <f t="shared" si="9"/>
        <v>19</v>
      </c>
      <c r="T82" s="290">
        <f t="shared" si="9"/>
        <v>56</v>
      </c>
      <c r="U82" s="291">
        <f t="shared" si="9"/>
        <v>24</v>
      </c>
      <c r="V82" s="291">
        <f t="shared" si="9"/>
        <v>17</v>
      </c>
      <c r="W82" s="291">
        <f t="shared" si="9"/>
        <v>15</v>
      </c>
    </row>
    <row r="83" spans="1:23" s="78" customFormat="1" ht="18.75" customHeight="1">
      <c r="A83" s="74"/>
      <c r="B83" s="437"/>
      <c r="C83" s="444" t="s">
        <v>81</v>
      </c>
      <c r="D83" s="445"/>
      <c r="E83" s="291">
        <f t="shared" si="6"/>
        <v>89</v>
      </c>
      <c r="F83" s="309">
        <f>SUM(I83:W83)</f>
        <v>114</v>
      </c>
      <c r="G83" s="235">
        <f>IF(ISBLANK(E83),"",F83/E83)</f>
        <v>1.2808988764044944</v>
      </c>
      <c r="H83" s="290">
        <f t="shared" si="7"/>
        <v>10</v>
      </c>
      <c r="I83" s="291">
        <f t="shared" ref="I83:W83" si="10">I45</f>
        <v>3</v>
      </c>
      <c r="J83" s="291">
        <f t="shared" si="10"/>
        <v>2</v>
      </c>
      <c r="K83" s="291">
        <f t="shared" si="10"/>
        <v>5</v>
      </c>
      <c r="L83" s="290">
        <f t="shared" si="10"/>
        <v>17</v>
      </c>
      <c r="M83" s="291">
        <f t="shared" si="10"/>
        <v>4</v>
      </c>
      <c r="N83" s="291">
        <f t="shared" si="10"/>
        <v>7</v>
      </c>
      <c r="O83" s="291">
        <f t="shared" si="10"/>
        <v>6</v>
      </c>
      <c r="P83" s="290">
        <f t="shared" si="10"/>
        <v>14</v>
      </c>
      <c r="Q83" s="291">
        <f t="shared" si="10"/>
        <v>3</v>
      </c>
      <c r="R83" s="291">
        <f t="shared" si="10"/>
        <v>3</v>
      </c>
      <c r="S83" s="291">
        <f t="shared" si="10"/>
        <v>8</v>
      </c>
      <c r="T83" s="290">
        <f t="shared" si="10"/>
        <v>21</v>
      </c>
      <c r="U83" s="291">
        <f t="shared" si="10"/>
        <v>12</v>
      </c>
      <c r="V83" s="291">
        <f t="shared" si="10"/>
        <v>4</v>
      </c>
      <c r="W83" s="291">
        <f t="shared" si="10"/>
        <v>5</v>
      </c>
    </row>
    <row r="84" spans="1:23" s="125" customFormat="1" ht="20.25" customHeight="1">
      <c r="A84" s="121"/>
      <c r="B84" s="437"/>
      <c r="C84" s="442" t="s">
        <v>82</v>
      </c>
      <c r="D84" s="443"/>
      <c r="E84" s="228"/>
      <c r="F84" s="309">
        <f>SUM(I84:W84)</f>
        <v>0</v>
      </c>
      <c r="G84" s="235" t="str">
        <f t="shared" si="4"/>
        <v/>
      </c>
      <c r="H84" s="290"/>
      <c r="I84" s="291"/>
      <c r="J84" s="291"/>
      <c r="K84" s="291"/>
      <c r="L84" s="290"/>
      <c r="M84" s="291"/>
      <c r="N84" s="291"/>
      <c r="O84" s="291"/>
      <c r="P84" s="290"/>
      <c r="Q84" s="291"/>
      <c r="R84" s="291"/>
      <c r="S84" s="291"/>
      <c r="T84" s="290"/>
      <c r="U84" s="291"/>
      <c r="V84" s="291"/>
      <c r="W84" s="291"/>
    </row>
    <row r="85" spans="1:23" s="125" customFormat="1" ht="18" customHeight="1">
      <c r="A85" s="121"/>
      <c r="B85" s="437"/>
      <c r="C85" s="442" t="s">
        <v>83</v>
      </c>
      <c r="D85" s="443"/>
      <c r="E85" s="270"/>
      <c r="F85" s="309">
        <f>SUM(I85:W85)</f>
        <v>0</v>
      </c>
      <c r="G85" s="235" t="str">
        <f t="shared" si="4"/>
        <v/>
      </c>
      <c r="H85" s="290"/>
      <c r="I85" s="103"/>
      <c r="J85" s="103"/>
      <c r="K85" s="103"/>
      <c r="L85" s="290"/>
      <c r="M85" s="103"/>
      <c r="N85" s="103"/>
      <c r="O85" s="103"/>
      <c r="P85" s="290"/>
      <c r="Q85" s="291"/>
      <c r="R85" s="291"/>
      <c r="S85" s="291"/>
      <c r="T85" s="290"/>
      <c r="U85" s="103"/>
      <c r="V85" s="103"/>
      <c r="W85" s="103"/>
    </row>
    <row r="86" spans="1:23" s="125" customFormat="1" ht="21" customHeight="1">
      <c r="A86" s="121"/>
      <c r="B86" s="437"/>
      <c r="C86" s="442" t="s">
        <v>84</v>
      </c>
      <c r="D86" s="443"/>
      <c r="E86" s="228"/>
      <c r="F86" s="309">
        <f>SUM(I86:W86)</f>
        <v>0</v>
      </c>
      <c r="G86" s="235" t="str">
        <f t="shared" si="4"/>
        <v/>
      </c>
      <c r="H86" s="290"/>
      <c r="I86" s="103"/>
      <c r="J86" s="103"/>
      <c r="K86" s="103"/>
      <c r="L86" s="290"/>
      <c r="M86" s="103"/>
      <c r="N86" s="103"/>
      <c r="O86" s="103"/>
      <c r="P86" s="290"/>
      <c r="Q86" s="291"/>
      <c r="R86" s="291"/>
      <c r="S86" s="291"/>
      <c r="T86" s="290"/>
      <c r="U86" s="103"/>
      <c r="V86" s="103"/>
      <c r="W86" s="103"/>
    </row>
    <row r="87" spans="1:23" s="125" customFormat="1" ht="21" customHeight="1" thickBot="1">
      <c r="A87" s="121"/>
      <c r="B87" s="437"/>
      <c r="C87" s="446" t="s">
        <v>85</v>
      </c>
      <c r="D87" s="447"/>
      <c r="E87" s="269"/>
      <c r="F87" s="312">
        <f>SUM(I87:W87)</f>
        <v>0</v>
      </c>
      <c r="G87" s="236" t="str">
        <f t="shared" si="4"/>
        <v/>
      </c>
      <c r="H87" s="290"/>
      <c r="I87" s="109"/>
      <c r="J87" s="109"/>
      <c r="K87" s="109"/>
      <c r="L87" s="290"/>
      <c r="M87" s="109"/>
      <c r="N87" s="109"/>
      <c r="O87" s="109"/>
      <c r="P87" s="290"/>
      <c r="Q87" s="109"/>
      <c r="R87" s="109"/>
      <c r="S87" s="109"/>
      <c r="T87" s="290"/>
      <c r="U87" s="109"/>
      <c r="V87" s="109"/>
      <c r="W87" s="109"/>
    </row>
    <row r="88" spans="1:23" s="78" customFormat="1" ht="18.75" customHeight="1" thickBot="1">
      <c r="A88" s="74"/>
      <c r="B88" s="437"/>
      <c r="C88" s="450" t="s">
        <v>86</v>
      </c>
      <c r="D88" s="451"/>
      <c r="E88" s="247">
        <f>E46</f>
        <v>7200</v>
      </c>
      <c r="F88" s="313">
        <f>SUM(F89:F96)</f>
        <v>10663</v>
      </c>
      <c r="G88" s="192">
        <f>IF(ISERROR(F88/E88),"",F88/E88)</f>
        <v>1.4809722222222221</v>
      </c>
      <c r="H88" s="290">
        <f t="shared" ref="H88:W88" si="11">H46</f>
        <v>1803</v>
      </c>
      <c r="I88" s="290">
        <f t="shared" si="11"/>
        <v>564</v>
      </c>
      <c r="J88" s="290">
        <f t="shared" si="11"/>
        <v>724</v>
      </c>
      <c r="K88" s="290">
        <f t="shared" si="11"/>
        <v>515</v>
      </c>
      <c r="L88" s="290">
        <f t="shared" si="11"/>
        <v>1412</v>
      </c>
      <c r="M88" s="290">
        <f t="shared" si="11"/>
        <v>602</v>
      </c>
      <c r="N88" s="290">
        <f t="shared" si="11"/>
        <v>430</v>
      </c>
      <c r="O88" s="290">
        <f t="shared" si="11"/>
        <v>380</v>
      </c>
      <c r="P88" s="290">
        <f t="shared" si="11"/>
        <v>1298</v>
      </c>
      <c r="Q88" s="290">
        <f t="shared" si="11"/>
        <v>396</v>
      </c>
      <c r="R88" s="290">
        <f t="shared" si="11"/>
        <v>508</v>
      </c>
      <c r="S88" s="290">
        <f t="shared" si="11"/>
        <v>394</v>
      </c>
      <c r="T88" s="290">
        <f t="shared" si="11"/>
        <v>1720</v>
      </c>
      <c r="U88" s="290">
        <f t="shared" si="11"/>
        <v>558</v>
      </c>
      <c r="V88" s="290">
        <f t="shared" si="11"/>
        <v>649</v>
      </c>
      <c r="W88" s="290">
        <f t="shared" si="11"/>
        <v>513</v>
      </c>
    </row>
    <row r="89" spans="1:23" s="78" customFormat="1" ht="18.75" customHeight="1" thickBot="1">
      <c r="A89" s="74"/>
      <c r="B89" s="437"/>
      <c r="C89" s="440" t="s">
        <v>87</v>
      </c>
      <c r="D89" s="441"/>
      <c r="E89" s="373">
        <f>E47</f>
        <v>200</v>
      </c>
      <c r="F89" s="309">
        <f t="shared" ref="F89:F96" si="12">SUM(I89:W89)</f>
        <v>0</v>
      </c>
      <c r="G89" s="235">
        <f t="shared" ref="G89:G94" si="13">IF(ISBLANK(E89),"",F89/E89)</f>
        <v>0</v>
      </c>
      <c r="H89" s="290">
        <f t="shared" ref="H89:W92" si="14">H47</f>
        <v>0</v>
      </c>
      <c r="I89" s="103">
        <f t="shared" si="14"/>
        <v>0</v>
      </c>
      <c r="J89" s="103">
        <f t="shared" si="14"/>
        <v>0</v>
      </c>
      <c r="K89" s="103">
        <f t="shared" si="14"/>
        <v>0</v>
      </c>
      <c r="L89" s="290">
        <f t="shared" si="14"/>
        <v>0</v>
      </c>
      <c r="M89" s="103">
        <f t="shared" si="14"/>
        <v>0</v>
      </c>
      <c r="N89" s="103">
        <f t="shared" si="14"/>
        <v>0</v>
      </c>
      <c r="O89" s="103">
        <f t="shared" si="14"/>
        <v>0</v>
      </c>
      <c r="P89" s="290">
        <f t="shared" si="14"/>
        <v>0</v>
      </c>
      <c r="Q89" s="103">
        <f t="shared" si="14"/>
        <v>0</v>
      </c>
      <c r="R89" s="103">
        <f t="shared" si="14"/>
        <v>0</v>
      </c>
      <c r="S89" s="103">
        <f t="shared" si="14"/>
        <v>0</v>
      </c>
      <c r="T89" s="290">
        <f t="shared" si="14"/>
        <v>0</v>
      </c>
      <c r="U89" s="103">
        <f t="shared" si="14"/>
        <v>0</v>
      </c>
      <c r="V89" s="103">
        <f t="shared" si="14"/>
        <v>0</v>
      </c>
      <c r="W89" s="103">
        <f t="shared" si="14"/>
        <v>0</v>
      </c>
    </row>
    <row r="90" spans="1:23" s="78" customFormat="1" ht="18.75" customHeight="1" thickBot="1">
      <c r="A90" s="74"/>
      <c r="B90" s="437"/>
      <c r="C90" s="440" t="s">
        <v>88</v>
      </c>
      <c r="D90" s="441"/>
      <c r="E90" s="373">
        <f t="shared" ref="E90:E92" si="15">E48</f>
        <v>6000</v>
      </c>
      <c r="F90" s="309">
        <f t="shared" si="12"/>
        <v>9214</v>
      </c>
      <c r="G90" s="235">
        <f t="shared" si="13"/>
        <v>1.5356666666666667</v>
      </c>
      <c r="H90" s="290">
        <f t="shared" si="14"/>
        <v>1602</v>
      </c>
      <c r="I90" s="103">
        <f t="shared" si="14"/>
        <v>482</v>
      </c>
      <c r="J90" s="103">
        <f t="shared" si="14"/>
        <v>648</v>
      </c>
      <c r="K90" s="103">
        <f t="shared" si="14"/>
        <v>472</v>
      </c>
      <c r="L90" s="290">
        <f t="shared" si="14"/>
        <v>1222</v>
      </c>
      <c r="M90" s="103">
        <f t="shared" si="14"/>
        <v>534</v>
      </c>
      <c r="N90" s="103">
        <f t="shared" si="14"/>
        <v>365</v>
      </c>
      <c r="O90" s="103">
        <f t="shared" si="14"/>
        <v>323</v>
      </c>
      <c r="P90" s="290">
        <f t="shared" si="14"/>
        <v>1115</v>
      </c>
      <c r="Q90" s="103">
        <f t="shared" si="14"/>
        <v>342</v>
      </c>
      <c r="R90" s="103">
        <f t="shared" si="14"/>
        <v>432</v>
      </c>
      <c r="S90" s="103">
        <f t="shared" si="14"/>
        <v>341</v>
      </c>
      <c r="T90" s="290">
        <f t="shared" si="14"/>
        <v>1469</v>
      </c>
      <c r="U90" s="103">
        <f t="shared" si="14"/>
        <v>487</v>
      </c>
      <c r="V90" s="103">
        <f t="shared" si="14"/>
        <v>561</v>
      </c>
      <c r="W90" s="103">
        <f t="shared" si="14"/>
        <v>421</v>
      </c>
    </row>
    <row r="91" spans="1:23" s="78" customFormat="1" ht="18.75" customHeight="1" thickBot="1">
      <c r="A91" s="74"/>
      <c r="B91" s="437"/>
      <c r="C91" s="448" t="s">
        <v>89</v>
      </c>
      <c r="D91" s="449"/>
      <c r="E91" s="373">
        <f t="shared" si="15"/>
        <v>0</v>
      </c>
      <c r="F91" s="309">
        <f t="shared" si="12"/>
        <v>0</v>
      </c>
      <c r="G91" s="235" t="e">
        <f>IF(ISBLANK(E91),"",F91/E91)</f>
        <v>#DIV/0!</v>
      </c>
      <c r="H91" s="290">
        <f t="shared" si="14"/>
        <v>0</v>
      </c>
      <c r="I91" s="103">
        <f t="shared" si="14"/>
        <v>0</v>
      </c>
      <c r="J91" s="103">
        <f t="shared" si="14"/>
        <v>0</v>
      </c>
      <c r="K91" s="103">
        <f t="shared" si="14"/>
        <v>0</v>
      </c>
      <c r="L91" s="290">
        <f t="shared" si="14"/>
        <v>0</v>
      </c>
      <c r="M91" s="103">
        <f t="shared" si="14"/>
        <v>0</v>
      </c>
      <c r="N91" s="103">
        <f t="shared" si="14"/>
        <v>0</v>
      </c>
      <c r="O91" s="103">
        <f t="shared" si="14"/>
        <v>0</v>
      </c>
      <c r="P91" s="290">
        <f t="shared" si="14"/>
        <v>0</v>
      </c>
      <c r="Q91" s="103">
        <f t="shared" si="14"/>
        <v>0</v>
      </c>
      <c r="R91" s="103">
        <f t="shared" si="14"/>
        <v>0</v>
      </c>
      <c r="S91" s="103">
        <f t="shared" si="14"/>
        <v>0</v>
      </c>
      <c r="T91" s="290">
        <f t="shared" si="14"/>
        <v>0</v>
      </c>
      <c r="U91" s="103">
        <f t="shared" si="14"/>
        <v>0</v>
      </c>
      <c r="V91" s="103">
        <f t="shared" si="14"/>
        <v>0</v>
      </c>
      <c r="W91" s="103">
        <f t="shared" si="14"/>
        <v>0</v>
      </c>
    </row>
    <row r="92" spans="1:23" s="78" customFormat="1" ht="18.75" customHeight="1" thickBot="1">
      <c r="A92" s="74"/>
      <c r="B92" s="437"/>
      <c r="C92" s="448" t="s">
        <v>90</v>
      </c>
      <c r="D92" s="449"/>
      <c r="E92" s="373">
        <f t="shared" si="15"/>
        <v>1000</v>
      </c>
      <c r="F92" s="309">
        <f t="shared" si="12"/>
        <v>1449</v>
      </c>
      <c r="G92" s="235">
        <f t="shared" si="13"/>
        <v>1.4490000000000001</v>
      </c>
      <c r="H92" s="290">
        <f t="shared" si="14"/>
        <v>201</v>
      </c>
      <c r="I92" s="103">
        <f t="shared" si="14"/>
        <v>82</v>
      </c>
      <c r="J92" s="103">
        <f t="shared" si="14"/>
        <v>76</v>
      </c>
      <c r="K92" s="103">
        <f t="shared" si="14"/>
        <v>43</v>
      </c>
      <c r="L92" s="290">
        <f t="shared" si="14"/>
        <v>190</v>
      </c>
      <c r="M92" s="103">
        <f t="shared" si="14"/>
        <v>68</v>
      </c>
      <c r="N92" s="103">
        <f t="shared" si="14"/>
        <v>65</v>
      </c>
      <c r="O92" s="103">
        <f t="shared" si="14"/>
        <v>57</v>
      </c>
      <c r="P92" s="290">
        <f t="shared" si="14"/>
        <v>183</v>
      </c>
      <c r="Q92" s="103">
        <f t="shared" si="14"/>
        <v>54</v>
      </c>
      <c r="R92" s="103">
        <f t="shared" si="14"/>
        <v>76</v>
      </c>
      <c r="S92" s="103">
        <f t="shared" si="14"/>
        <v>53</v>
      </c>
      <c r="T92" s="290">
        <f t="shared" si="14"/>
        <v>251</v>
      </c>
      <c r="U92" s="103">
        <f t="shared" si="14"/>
        <v>71</v>
      </c>
      <c r="V92" s="103">
        <f t="shared" si="14"/>
        <v>88</v>
      </c>
      <c r="W92" s="103">
        <f t="shared" si="14"/>
        <v>92</v>
      </c>
    </row>
    <row r="93" spans="1:23" s="78" customFormat="1" ht="18.75" customHeight="1" thickBot="1">
      <c r="A93" s="74"/>
      <c r="B93" s="437"/>
      <c r="C93" s="448" t="s">
        <v>91</v>
      </c>
      <c r="D93" s="449"/>
      <c r="E93" s="373"/>
      <c r="F93" s="309">
        <f t="shared" si="12"/>
        <v>0</v>
      </c>
      <c r="G93" s="235" t="str">
        <f t="shared" si="13"/>
        <v/>
      </c>
      <c r="H93" s="290"/>
      <c r="I93" s="103"/>
      <c r="J93" s="103"/>
      <c r="K93" s="103"/>
      <c r="L93" s="290"/>
      <c r="M93" s="103"/>
      <c r="N93" s="103"/>
      <c r="O93" s="103"/>
      <c r="P93" s="290"/>
      <c r="Q93" s="103"/>
      <c r="R93" s="103"/>
      <c r="S93" s="103"/>
      <c r="T93" s="290"/>
      <c r="U93" s="103"/>
      <c r="V93" s="103"/>
      <c r="W93" s="103"/>
    </row>
    <row r="94" spans="1:23" s="78" customFormat="1" ht="18.75" customHeight="1">
      <c r="A94" s="74"/>
      <c r="B94" s="437"/>
      <c r="C94" s="448" t="s">
        <v>92</v>
      </c>
      <c r="D94" s="449"/>
      <c r="E94" s="373"/>
      <c r="F94" s="309">
        <f t="shared" si="12"/>
        <v>0</v>
      </c>
      <c r="G94" s="235" t="str">
        <f t="shared" si="13"/>
        <v/>
      </c>
      <c r="H94" s="290"/>
      <c r="I94" s="103"/>
      <c r="J94" s="103"/>
      <c r="K94" s="103"/>
      <c r="L94" s="290"/>
      <c r="M94" s="103"/>
      <c r="N94" s="103"/>
      <c r="O94" s="103"/>
      <c r="P94" s="290"/>
      <c r="Q94" s="103"/>
      <c r="R94" s="103"/>
      <c r="S94" s="103"/>
      <c r="T94" s="290"/>
      <c r="U94" s="103"/>
      <c r="V94" s="103"/>
      <c r="W94" s="103"/>
    </row>
    <row r="95" spans="1:23" s="78" customFormat="1" ht="18.649999999999999" customHeight="1">
      <c r="A95" s="74"/>
      <c r="B95" s="437"/>
      <c r="C95" s="448" t="s">
        <v>93</v>
      </c>
      <c r="D95" s="449"/>
      <c r="E95" s="230"/>
      <c r="F95" s="309">
        <f t="shared" si="12"/>
        <v>0</v>
      </c>
      <c r="G95" s="235" t="str">
        <f>IF(ISBLANK(E95),"",F95/E95)</f>
        <v/>
      </c>
      <c r="H95" s="290"/>
      <c r="I95" s="103"/>
      <c r="J95" s="103"/>
      <c r="K95" s="103"/>
      <c r="L95" s="290"/>
      <c r="M95" s="103"/>
      <c r="N95" s="103"/>
      <c r="O95" s="103"/>
      <c r="P95" s="290"/>
      <c r="Q95" s="103"/>
      <c r="R95" s="103"/>
      <c r="S95" s="103"/>
      <c r="T95" s="290"/>
      <c r="U95" s="103"/>
      <c r="V95" s="103"/>
      <c r="W95" s="103"/>
    </row>
    <row r="96" spans="1:23" s="78" customFormat="1" ht="18.75" customHeight="1" thickBot="1">
      <c r="A96" s="74"/>
      <c r="B96" s="437"/>
      <c r="C96" s="448" t="s">
        <v>94</v>
      </c>
      <c r="D96" s="449"/>
      <c r="E96" s="232"/>
      <c r="F96" s="312">
        <f t="shared" si="12"/>
        <v>0</v>
      </c>
      <c r="G96" s="236" t="str">
        <f>IF(ISBLANK(E96),"",F96/E96)</f>
        <v/>
      </c>
      <c r="H96" s="290"/>
      <c r="I96" s="109"/>
      <c r="J96" s="109"/>
      <c r="K96" s="109"/>
      <c r="L96" s="290"/>
      <c r="M96" s="109"/>
      <c r="N96" s="109"/>
      <c r="O96" s="109"/>
      <c r="P96" s="290"/>
      <c r="Q96" s="109"/>
      <c r="R96" s="109"/>
      <c r="S96" s="109"/>
      <c r="T96" s="290"/>
      <c r="U96" s="109"/>
      <c r="V96" s="109"/>
      <c r="W96" s="109"/>
    </row>
    <row r="97" spans="1:23" s="78" customFormat="1" ht="22.5" customHeight="1" thickBot="1">
      <c r="A97" s="74"/>
      <c r="B97" s="437"/>
      <c r="C97" s="450" t="s">
        <v>95</v>
      </c>
      <c r="D97" s="451"/>
      <c r="E97" s="247">
        <f>E59</f>
        <v>120</v>
      </c>
      <c r="F97" s="313">
        <f>F59</f>
        <v>61</v>
      </c>
      <c r="G97" s="192">
        <f>IF(ISERROR(F97/E97),"",F97/E97)</f>
        <v>0.5083333333333333</v>
      </c>
      <c r="H97" s="290">
        <f t="shared" ref="H97:W97" si="16">H45</f>
        <v>10</v>
      </c>
      <c r="I97" s="290">
        <f t="shared" si="16"/>
        <v>3</v>
      </c>
      <c r="J97" s="290">
        <f t="shared" si="16"/>
        <v>2</v>
      </c>
      <c r="K97" s="290">
        <f t="shared" si="16"/>
        <v>5</v>
      </c>
      <c r="L97" s="290">
        <f t="shared" si="16"/>
        <v>17</v>
      </c>
      <c r="M97" s="290">
        <f t="shared" si="16"/>
        <v>4</v>
      </c>
      <c r="N97" s="290">
        <f t="shared" si="16"/>
        <v>7</v>
      </c>
      <c r="O97" s="290">
        <f t="shared" si="16"/>
        <v>6</v>
      </c>
      <c r="P97" s="290">
        <f t="shared" si="16"/>
        <v>14</v>
      </c>
      <c r="Q97" s="290">
        <f t="shared" si="16"/>
        <v>3</v>
      </c>
      <c r="R97" s="290">
        <f t="shared" si="16"/>
        <v>3</v>
      </c>
      <c r="S97" s="290">
        <f t="shared" si="16"/>
        <v>8</v>
      </c>
      <c r="T97" s="290">
        <f t="shared" si="16"/>
        <v>21</v>
      </c>
      <c r="U97" s="290">
        <f t="shared" si="16"/>
        <v>12</v>
      </c>
      <c r="V97" s="290">
        <f t="shared" si="16"/>
        <v>4</v>
      </c>
      <c r="W97" s="290">
        <f t="shared" si="16"/>
        <v>5</v>
      </c>
    </row>
    <row r="98" spans="1:23" s="78" customFormat="1" ht="18.75" customHeight="1" thickBot="1">
      <c r="A98" s="74"/>
      <c r="B98" s="437"/>
      <c r="C98" s="440" t="s">
        <v>87</v>
      </c>
      <c r="D98" s="441"/>
      <c r="E98" s="373">
        <f t="shared" ref="E98:F100" si="17">E60</f>
        <v>40</v>
      </c>
      <c r="F98" s="309">
        <f t="shared" si="17"/>
        <v>61</v>
      </c>
      <c r="G98" s="116">
        <f t="shared" ref="G98:G105" si="18">IF(ISBLANK(E98),"",F98/E98)</f>
        <v>1.5249999999999999</v>
      </c>
      <c r="H98" s="290">
        <f t="shared" ref="H98:W98" si="19">H60</f>
        <v>12</v>
      </c>
      <c r="I98" s="103">
        <f t="shared" si="19"/>
        <v>4</v>
      </c>
      <c r="J98" s="103">
        <f t="shared" si="19"/>
        <v>4</v>
      </c>
      <c r="K98" s="103">
        <f t="shared" si="19"/>
        <v>4</v>
      </c>
      <c r="L98" s="290">
        <f t="shared" si="19"/>
        <v>8</v>
      </c>
      <c r="M98" s="103">
        <f t="shared" si="19"/>
        <v>0</v>
      </c>
      <c r="N98" s="103">
        <f t="shared" si="19"/>
        <v>4</v>
      </c>
      <c r="O98" s="103">
        <f t="shared" si="19"/>
        <v>4</v>
      </c>
      <c r="P98" s="290">
        <f t="shared" si="19"/>
        <v>8</v>
      </c>
      <c r="Q98" s="103">
        <f t="shared" si="19"/>
        <v>4</v>
      </c>
      <c r="R98" s="103">
        <f t="shared" si="19"/>
        <v>0</v>
      </c>
      <c r="S98" s="103">
        <f t="shared" si="19"/>
        <v>4</v>
      </c>
      <c r="T98" s="290">
        <f t="shared" si="19"/>
        <v>12</v>
      </c>
      <c r="U98" s="103">
        <f t="shared" si="19"/>
        <v>4</v>
      </c>
      <c r="V98" s="103">
        <f t="shared" si="19"/>
        <v>4</v>
      </c>
      <c r="W98" s="103">
        <f t="shared" si="19"/>
        <v>4</v>
      </c>
    </row>
    <row r="99" spans="1:23" s="78" customFormat="1" ht="18.75" customHeight="1" thickBot="1">
      <c r="A99" s="74"/>
      <c r="B99" s="437"/>
      <c r="C99" s="440" t="s">
        <v>88</v>
      </c>
      <c r="D99" s="441"/>
      <c r="E99" s="373">
        <f t="shared" si="17"/>
        <v>40</v>
      </c>
      <c r="F99" s="309">
        <f t="shared" si="17"/>
        <v>61</v>
      </c>
      <c r="G99" s="116">
        <f t="shared" si="18"/>
        <v>1.5249999999999999</v>
      </c>
      <c r="H99" s="290">
        <f t="shared" ref="H99:W99" si="20">H61</f>
        <v>8</v>
      </c>
      <c r="I99" s="103">
        <f t="shared" si="20"/>
        <v>4</v>
      </c>
      <c r="J99" s="103">
        <f t="shared" si="20"/>
        <v>0</v>
      </c>
      <c r="K99" s="103">
        <f t="shared" si="20"/>
        <v>4</v>
      </c>
      <c r="L99" s="290">
        <f t="shared" si="20"/>
        <v>12</v>
      </c>
      <c r="M99" s="103">
        <f t="shared" si="20"/>
        <v>4</v>
      </c>
      <c r="N99" s="103">
        <f t="shared" si="20"/>
        <v>4</v>
      </c>
      <c r="O99" s="103">
        <f t="shared" si="20"/>
        <v>4</v>
      </c>
      <c r="P99" s="290">
        <f t="shared" si="20"/>
        <v>8</v>
      </c>
      <c r="Q99" s="103">
        <f t="shared" si="20"/>
        <v>0</v>
      </c>
      <c r="R99" s="103">
        <f t="shared" si="20"/>
        <v>4</v>
      </c>
      <c r="S99" s="103">
        <f t="shared" si="20"/>
        <v>4</v>
      </c>
      <c r="T99" s="290">
        <f t="shared" si="20"/>
        <v>12</v>
      </c>
      <c r="U99" s="103">
        <f t="shared" si="20"/>
        <v>4</v>
      </c>
      <c r="V99" s="103">
        <f t="shared" si="20"/>
        <v>4</v>
      </c>
      <c r="W99" s="103">
        <f t="shared" si="20"/>
        <v>4</v>
      </c>
    </row>
    <row r="100" spans="1:23" s="78" customFormat="1" ht="18.75" customHeight="1">
      <c r="A100" s="74"/>
      <c r="B100" s="437"/>
      <c r="C100" s="448" t="s">
        <v>89</v>
      </c>
      <c r="D100" s="449"/>
      <c r="E100" s="373">
        <f t="shared" si="17"/>
        <v>20</v>
      </c>
      <c r="F100" s="309">
        <f t="shared" si="17"/>
        <v>61</v>
      </c>
      <c r="G100" s="116">
        <f t="shared" si="18"/>
        <v>3.05</v>
      </c>
      <c r="H100" s="290">
        <f t="shared" ref="H100:W100" si="21">H62</f>
        <v>6</v>
      </c>
      <c r="I100" s="103">
        <f t="shared" si="21"/>
        <v>2</v>
      </c>
      <c r="J100" s="103">
        <f t="shared" si="21"/>
        <v>2</v>
      </c>
      <c r="K100" s="103">
        <f t="shared" si="21"/>
        <v>2</v>
      </c>
      <c r="L100" s="290">
        <f t="shared" si="21"/>
        <v>6</v>
      </c>
      <c r="M100" s="103">
        <f t="shared" si="21"/>
        <v>2</v>
      </c>
      <c r="N100" s="103">
        <f t="shared" si="21"/>
        <v>2</v>
      </c>
      <c r="O100" s="103">
        <f t="shared" si="21"/>
        <v>2</v>
      </c>
      <c r="P100" s="290">
        <f t="shared" si="21"/>
        <v>0</v>
      </c>
      <c r="Q100" s="103">
        <f t="shared" si="21"/>
        <v>2</v>
      </c>
      <c r="R100" s="103">
        <f t="shared" si="21"/>
        <v>2</v>
      </c>
      <c r="S100" s="103">
        <f t="shared" si="21"/>
        <v>2</v>
      </c>
      <c r="T100" s="290">
        <f t="shared" si="21"/>
        <v>0</v>
      </c>
      <c r="U100" s="103">
        <f t="shared" si="21"/>
        <v>0</v>
      </c>
      <c r="V100" s="103">
        <f t="shared" si="21"/>
        <v>0</v>
      </c>
      <c r="W100" s="103">
        <f t="shared" si="21"/>
        <v>0</v>
      </c>
    </row>
    <row r="101" spans="1:23" s="78" customFormat="1" ht="18.75" customHeight="1">
      <c r="A101" s="74"/>
      <c r="B101" s="437"/>
      <c r="C101" s="448" t="s">
        <v>90</v>
      </c>
      <c r="D101" s="449"/>
      <c r="E101" s="230"/>
      <c r="F101" s="309">
        <f t="shared" ref="F101:F105" si="22">SUM(I101:W101)</f>
        <v>0</v>
      </c>
      <c r="G101" s="116" t="str">
        <f t="shared" si="18"/>
        <v/>
      </c>
      <c r="H101" s="290"/>
      <c r="I101" s="103"/>
      <c r="J101" s="103"/>
      <c r="K101" s="103"/>
      <c r="L101" s="290"/>
      <c r="M101" s="103"/>
      <c r="N101" s="103"/>
      <c r="O101" s="103"/>
      <c r="P101" s="290"/>
      <c r="Q101" s="103"/>
      <c r="R101" s="103"/>
      <c r="S101" s="103"/>
      <c r="T101" s="290"/>
      <c r="U101" s="103"/>
      <c r="V101" s="103"/>
      <c r="W101" s="103"/>
    </row>
    <row r="102" spans="1:23" s="78" customFormat="1" ht="18.75" customHeight="1">
      <c r="A102" s="74"/>
      <c r="B102" s="437"/>
      <c r="C102" s="448" t="s">
        <v>91</v>
      </c>
      <c r="D102" s="449"/>
      <c r="E102" s="230"/>
      <c r="F102" s="309">
        <f t="shared" si="22"/>
        <v>0</v>
      </c>
      <c r="G102" s="116" t="str">
        <f t="shared" si="18"/>
        <v/>
      </c>
      <c r="H102" s="290"/>
      <c r="I102" s="103"/>
      <c r="J102" s="103"/>
      <c r="K102" s="103"/>
      <c r="L102" s="290"/>
      <c r="M102" s="103"/>
      <c r="N102" s="103"/>
      <c r="O102" s="103"/>
      <c r="P102" s="290"/>
      <c r="Q102" s="103"/>
      <c r="R102" s="103"/>
      <c r="S102" s="103"/>
      <c r="T102" s="290"/>
      <c r="U102" s="103"/>
      <c r="V102" s="103"/>
      <c r="W102" s="103"/>
    </row>
    <row r="103" spans="1:23" s="78" customFormat="1" ht="18.75" customHeight="1">
      <c r="A103" s="74"/>
      <c r="B103" s="437"/>
      <c r="C103" s="448" t="s">
        <v>92</v>
      </c>
      <c r="D103" s="449"/>
      <c r="E103" s="231"/>
      <c r="F103" s="309">
        <f t="shared" si="22"/>
        <v>0</v>
      </c>
      <c r="G103" s="116" t="str">
        <f t="shared" si="18"/>
        <v/>
      </c>
      <c r="H103" s="290"/>
      <c r="I103" s="103"/>
      <c r="J103" s="103"/>
      <c r="K103" s="103"/>
      <c r="L103" s="290"/>
      <c r="M103" s="103"/>
      <c r="N103" s="103"/>
      <c r="O103" s="103"/>
      <c r="P103" s="290"/>
      <c r="Q103" s="103"/>
      <c r="R103" s="103"/>
      <c r="S103" s="103"/>
      <c r="T103" s="290"/>
      <c r="U103" s="103"/>
      <c r="V103" s="103"/>
      <c r="W103" s="103"/>
    </row>
    <row r="104" spans="1:23" s="78" customFormat="1" ht="18.75" customHeight="1">
      <c r="A104" s="74"/>
      <c r="B104" s="437"/>
      <c r="C104" s="448" t="s">
        <v>93</v>
      </c>
      <c r="D104" s="449"/>
      <c r="E104" s="231"/>
      <c r="F104" s="309">
        <f t="shared" si="22"/>
        <v>0</v>
      </c>
      <c r="G104" s="116" t="str">
        <f t="shared" si="18"/>
        <v/>
      </c>
      <c r="H104" s="290"/>
      <c r="I104" s="103"/>
      <c r="J104" s="103"/>
      <c r="K104" s="103"/>
      <c r="L104" s="290"/>
      <c r="M104" s="103"/>
      <c r="N104" s="103"/>
      <c r="O104" s="103"/>
      <c r="P104" s="290"/>
      <c r="Q104" s="103"/>
      <c r="R104" s="103"/>
      <c r="S104" s="103"/>
      <c r="T104" s="290"/>
      <c r="U104" s="103"/>
      <c r="V104" s="103"/>
      <c r="W104" s="103"/>
    </row>
    <row r="105" spans="1:23" s="78" customFormat="1" ht="18.649999999999999" customHeight="1" thickBot="1">
      <c r="A105" s="74"/>
      <c r="B105" s="438"/>
      <c r="C105" s="452" t="s">
        <v>94</v>
      </c>
      <c r="D105" s="453"/>
      <c r="E105" s="232"/>
      <c r="F105" s="312">
        <f t="shared" si="22"/>
        <v>0</v>
      </c>
      <c r="G105" s="120" t="str">
        <f t="shared" si="18"/>
        <v/>
      </c>
      <c r="H105" s="290"/>
      <c r="I105" s="109"/>
      <c r="J105" s="109"/>
      <c r="K105" s="109"/>
      <c r="L105" s="290"/>
      <c r="M105" s="109"/>
      <c r="N105" s="109"/>
      <c r="O105" s="109"/>
      <c r="P105" s="290"/>
      <c r="Q105" s="109"/>
      <c r="R105" s="109"/>
      <c r="S105" s="109"/>
      <c r="T105" s="290"/>
      <c r="U105" s="109"/>
      <c r="V105" s="109"/>
      <c r="W105" s="109"/>
    </row>
    <row r="106" spans="1:23" s="78" customFormat="1" ht="42" customHeight="1">
      <c r="A106" s="74"/>
      <c r="B106" s="436" t="s">
        <v>270</v>
      </c>
      <c r="C106" s="454" t="s">
        <v>269</v>
      </c>
      <c r="D106" s="455"/>
      <c r="E106" s="247">
        <f t="shared" ref="E106:W106" si="23">E16</f>
        <v>300</v>
      </c>
      <c r="F106" s="247">
        <f t="shared" si="23"/>
        <v>300</v>
      </c>
      <c r="G106" s="247">
        <f t="shared" si="23"/>
        <v>1</v>
      </c>
      <c r="H106" s="290">
        <f t="shared" si="23"/>
        <v>78</v>
      </c>
      <c r="I106" s="290">
        <f t="shared" si="23"/>
        <v>26</v>
      </c>
      <c r="J106" s="290">
        <f t="shared" si="23"/>
        <v>26</v>
      </c>
      <c r="K106" s="290">
        <f t="shared" si="23"/>
        <v>26</v>
      </c>
      <c r="L106" s="290">
        <f t="shared" si="23"/>
        <v>74</v>
      </c>
      <c r="M106" s="290">
        <f t="shared" si="23"/>
        <v>24</v>
      </c>
      <c r="N106" s="290">
        <f t="shared" si="23"/>
        <v>24</v>
      </c>
      <c r="O106" s="290">
        <f t="shared" si="23"/>
        <v>26</v>
      </c>
      <c r="P106" s="290">
        <f t="shared" si="23"/>
        <v>72</v>
      </c>
      <c r="Q106" s="290">
        <f t="shared" si="23"/>
        <v>24</v>
      </c>
      <c r="R106" s="290">
        <f t="shared" si="23"/>
        <v>22</v>
      </c>
      <c r="S106" s="290">
        <f t="shared" si="23"/>
        <v>26</v>
      </c>
      <c r="T106" s="290">
        <f t="shared" si="23"/>
        <v>76</v>
      </c>
      <c r="U106" s="290">
        <f t="shared" si="23"/>
        <v>24</v>
      </c>
      <c r="V106" s="290">
        <f t="shared" si="23"/>
        <v>26</v>
      </c>
      <c r="W106" s="290">
        <f t="shared" si="23"/>
        <v>26</v>
      </c>
    </row>
    <row r="107" spans="1:23" s="212" customFormat="1" ht="27" customHeight="1">
      <c r="A107" s="211"/>
      <c r="B107" s="437"/>
      <c r="C107" s="456" t="s">
        <v>274</v>
      </c>
      <c r="D107" s="457"/>
      <c r="E107" s="271">
        <f t="shared" ref="E107:W107" si="24">E17</f>
        <v>150</v>
      </c>
      <c r="F107" s="315">
        <f t="shared" si="24"/>
        <v>164</v>
      </c>
      <c r="G107" s="272">
        <f t="shared" si="24"/>
        <v>1.0933333333333333</v>
      </c>
      <c r="H107" s="290">
        <f t="shared" si="24"/>
        <v>30</v>
      </c>
      <c r="I107" s="103">
        <f t="shared" si="24"/>
        <v>12</v>
      </c>
      <c r="J107" s="103">
        <f t="shared" si="24"/>
        <v>8</v>
      </c>
      <c r="K107" s="103">
        <f t="shared" si="24"/>
        <v>10</v>
      </c>
      <c r="L107" s="290">
        <f t="shared" si="24"/>
        <v>46</v>
      </c>
      <c r="M107" s="103">
        <f t="shared" si="24"/>
        <v>16</v>
      </c>
      <c r="N107" s="103">
        <f t="shared" si="24"/>
        <v>12</v>
      </c>
      <c r="O107" s="103">
        <f t="shared" si="24"/>
        <v>18</v>
      </c>
      <c r="P107" s="290">
        <f t="shared" si="24"/>
        <v>40</v>
      </c>
      <c r="Q107" s="103">
        <f t="shared" si="24"/>
        <v>12</v>
      </c>
      <c r="R107" s="103">
        <f t="shared" si="24"/>
        <v>12</v>
      </c>
      <c r="S107" s="103">
        <f t="shared" si="24"/>
        <v>16</v>
      </c>
      <c r="T107" s="290">
        <f t="shared" si="24"/>
        <v>48</v>
      </c>
      <c r="U107" s="103">
        <f t="shared" si="24"/>
        <v>16</v>
      </c>
      <c r="V107" s="103">
        <f t="shared" si="24"/>
        <v>14</v>
      </c>
      <c r="W107" s="103">
        <f t="shared" si="24"/>
        <v>18</v>
      </c>
    </row>
    <row r="108" spans="1:23" s="125" customFormat="1" ht="27" customHeight="1">
      <c r="A108" s="121"/>
      <c r="B108" s="437"/>
      <c r="C108" s="456" t="s">
        <v>275</v>
      </c>
      <c r="D108" s="457"/>
      <c r="E108" s="271">
        <f t="shared" ref="E108:W108" si="25">E18</f>
        <v>150</v>
      </c>
      <c r="F108" s="309">
        <f t="shared" si="25"/>
        <v>136</v>
      </c>
      <c r="G108" s="144">
        <f t="shared" si="25"/>
        <v>0.90666666666666662</v>
      </c>
      <c r="H108" s="290">
        <f t="shared" si="25"/>
        <v>48</v>
      </c>
      <c r="I108" s="103">
        <f t="shared" si="25"/>
        <v>14</v>
      </c>
      <c r="J108" s="103">
        <f t="shared" si="25"/>
        <v>18</v>
      </c>
      <c r="K108" s="103">
        <f t="shared" si="25"/>
        <v>16</v>
      </c>
      <c r="L108" s="290">
        <f t="shared" si="25"/>
        <v>28</v>
      </c>
      <c r="M108" s="103">
        <f t="shared" si="25"/>
        <v>8</v>
      </c>
      <c r="N108" s="103">
        <f t="shared" si="25"/>
        <v>12</v>
      </c>
      <c r="O108" s="103">
        <f t="shared" si="25"/>
        <v>8</v>
      </c>
      <c r="P108" s="290">
        <f t="shared" si="25"/>
        <v>32</v>
      </c>
      <c r="Q108" s="103">
        <f t="shared" si="25"/>
        <v>12</v>
      </c>
      <c r="R108" s="103">
        <f t="shared" si="25"/>
        <v>10</v>
      </c>
      <c r="S108" s="103">
        <f t="shared" si="25"/>
        <v>10</v>
      </c>
      <c r="T108" s="290">
        <f t="shared" si="25"/>
        <v>28</v>
      </c>
      <c r="U108" s="103">
        <f t="shared" si="25"/>
        <v>8</v>
      </c>
      <c r="V108" s="103">
        <f t="shared" si="25"/>
        <v>12</v>
      </c>
      <c r="W108" s="103">
        <f t="shared" si="25"/>
        <v>8</v>
      </c>
    </row>
    <row r="109" spans="1:23" s="125" customFormat="1" ht="27" customHeight="1">
      <c r="A109" s="121"/>
      <c r="B109" s="437"/>
      <c r="C109" s="456" t="s">
        <v>272</v>
      </c>
      <c r="D109" s="458"/>
      <c r="E109" s="213">
        <f>E66</f>
        <v>20</v>
      </c>
      <c r="F109" s="309">
        <f t="shared" ref="F109:W109" si="26">F66</f>
        <v>61</v>
      </c>
      <c r="G109" s="144">
        <f t="shared" si="26"/>
        <v>1</v>
      </c>
      <c r="H109" s="290">
        <f t="shared" si="26"/>
        <v>6</v>
      </c>
      <c r="I109" s="103">
        <f t="shared" si="26"/>
        <v>2</v>
      </c>
      <c r="J109" s="103">
        <f t="shared" si="26"/>
        <v>2</v>
      </c>
      <c r="K109" s="103">
        <f t="shared" si="26"/>
        <v>2</v>
      </c>
      <c r="L109" s="290">
        <f t="shared" si="26"/>
        <v>4</v>
      </c>
      <c r="M109" s="103">
        <f t="shared" si="26"/>
        <v>2</v>
      </c>
      <c r="N109" s="103">
        <f t="shared" si="26"/>
        <v>0</v>
      </c>
      <c r="O109" s="103">
        <f t="shared" si="26"/>
        <v>2</v>
      </c>
      <c r="P109" s="290">
        <f t="shared" si="26"/>
        <v>3</v>
      </c>
      <c r="Q109" s="103">
        <f t="shared" si="26"/>
        <v>2</v>
      </c>
      <c r="R109" s="103">
        <f t="shared" si="26"/>
        <v>1</v>
      </c>
      <c r="S109" s="103">
        <f t="shared" si="26"/>
        <v>0</v>
      </c>
      <c r="T109" s="290">
        <f t="shared" si="26"/>
        <v>7</v>
      </c>
      <c r="U109" s="103">
        <f t="shared" si="26"/>
        <v>2</v>
      </c>
      <c r="V109" s="103">
        <f t="shared" si="26"/>
        <v>1</v>
      </c>
      <c r="W109" s="103">
        <f t="shared" si="26"/>
        <v>4</v>
      </c>
    </row>
    <row r="110" spans="1:23" s="125" customFormat="1" ht="27" customHeight="1">
      <c r="A110" s="121"/>
      <c r="B110" s="437"/>
      <c r="C110" s="456" t="s">
        <v>273</v>
      </c>
      <c r="D110" s="458"/>
      <c r="E110" s="213">
        <f>E65</f>
        <v>10</v>
      </c>
      <c r="F110" s="309">
        <f t="shared" ref="F110:W110" si="27">F65</f>
        <v>61</v>
      </c>
      <c r="G110" s="144">
        <f t="shared" si="27"/>
        <v>1</v>
      </c>
      <c r="H110" s="290">
        <f t="shared" si="27"/>
        <v>2</v>
      </c>
      <c r="I110" s="103">
        <f t="shared" si="27"/>
        <v>1</v>
      </c>
      <c r="J110" s="103">
        <f t="shared" si="27"/>
        <v>1</v>
      </c>
      <c r="K110" s="103">
        <f t="shared" si="27"/>
        <v>0</v>
      </c>
      <c r="L110" s="290">
        <f t="shared" si="27"/>
        <v>3</v>
      </c>
      <c r="M110" s="103">
        <f t="shared" si="27"/>
        <v>1</v>
      </c>
      <c r="N110" s="103">
        <f t="shared" si="27"/>
        <v>1</v>
      </c>
      <c r="O110" s="103">
        <f t="shared" si="27"/>
        <v>1</v>
      </c>
      <c r="P110" s="290">
        <f t="shared" si="27"/>
        <v>3</v>
      </c>
      <c r="Q110" s="103">
        <f t="shared" si="27"/>
        <v>1</v>
      </c>
      <c r="R110" s="103">
        <f t="shared" si="27"/>
        <v>2</v>
      </c>
      <c r="S110" s="103">
        <f t="shared" si="27"/>
        <v>0</v>
      </c>
      <c r="T110" s="290">
        <f t="shared" si="27"/>
        <v>2</v>
      </c>
      <c r="U110" s="103">
        <f t="shared" si="27"/>
        <v>0</v>
      </c>
      <c r="V110" s="103">
        <f t="shared" si="27"/>
        <v>0</v>
      </c>
      <c r="W110" s="103">
        <f t="shared" si="27"/>
        <v>2</v>
      </c>
    </row>
    <row r="111" spans="1:23" s="125" customFormat="1" ht="27" customHeight="1">
      <c r="A111" s="121"/>
      <c r="B111" s="437"/>
      <c r="C111" s="459" t="s">
        <v>96</v>
      </c>
      <c r="D111" s="460"/>
      <c r="E111" s="213">
        <f t="shared" ref="E111:W111" si="28">E17</f>
        <v>150</v>
      </c>
      <c r="F111" s="309">
        <f t="shared" si="28"/>
        <v>164</v>
      </c>
      <c r="G111" s="144">
        <f t="shared" si="28"/>
        <v>1.0933333333333333</v>
      </c>
      <c r="H111" s="290">
        <f t="shared" si="28"/>
        <v>30</v>
      </c>
      <c r="I111" s="291">
        <f t="shared" si="28"/>
        <v>12</v>
      </c>
      <c r="J111" s="291">
        <f t="shared" si="28"/>
        <v>8</v>
      </c>
      <c r="K111" s="291">
        <f t="shared" si="28"/>
        <v>10</v>
      </c>
      <c r="L111" s="290">
        <f t="shared" si="28"/>
        <v>46</v>
      </c>
      <c r="M111" s="291">
        <f t="shared" si="28"/>
        <v>16</v>
      </c>
      <c r="N111" s="291">
        <f t="shared" si="28"/>
        <v>12</v>
      </c>
      <c r="O111" s="291">
        <f t="shared" si="28"/>
        <v>18</v>
      </c>
      <c r="P111" s="290">
        <f t="shared" si="28"/>
        <v>40</v>
      </c>
      <c r="Q111" s="291">
        <f t="shared" si="28"/>
        <v>12</v>
      </c>
      <c r="R111" s="291">
        <f t="shared" si="28"/>
        <v>12</v>
      </c>
      <c r="S111" s="291">
        <f t="shared" si="28"/>
        <v>16</v>
      </c>
      <c r="T111" s="290">
        <f t="shared" si="28"/>
        <v>48</v>
      </c>
      <c r="U111" s="291">
        <f t="shared" si="28"/>
        <v>16</v>
      </c>
      <c r="V111" s="291">
        <f t="shared" si="28"/>
        <v>14</v>
      </c>
      <c r="W111" s="291">
        <f t="shared" si="28"/>
        <v>18</v>
      </c>
    </row>
    <row r="112" spans="1:23" s="212" customFormat="1" ht="27" customHeight="1" thickBot="1">
      <c r="A112" s="211"/>
      <c r="B112" s="437"/>
      <c r="C112" s="461" t="s">
        <v>97</v>
      </c>
      <c r="D112" s="462"/>
      <c r="E112" s="213">
        <f t="shared" ref="E112:W112" si="29">E18</f>
        <v>150</v>
      </c>
      <c r="F112" s="316">
        <f t="shared" si="29"/>
        <v>136</v>
      </c>
      <c r="G112" s="214">
        <f t="shared" si="29"/>
        <v>0.90666666666666662</v>
      </c>
      <c r="H112" s="290">
        <f t="shared" si="29"/>
        <v>48</v>
      </c>
      <c r="I112" s="291">
        <f t="shared" si="29"/>
        <v>14</v>
      </c>
      <c r="J112" s="291">
        <f t="shared" si="29"/>
        <v>18</v>
      </c>
      <c r="K112" s="291">
        <f t="shared" si="29"/>
        <v>16</v>
      </c>
      <c r="L112" s="290">
        <f t="shared" si="29"/>
        <v>28</v>
      </c>
      <c r="M112" s="291">
        <f t="shared" si="29"/>
        <v>8</v>
      </c>
      <c r="N112" s="291">
        <f t="shared" si="29"/>
        <v>12</v>
      </c>
      <c r="O112" s="291">
        <f t="shared" si="29"/>
        <v>8</v>
      </c>
      <c r="P112" s="290">
        <f t="shared" si="29"/>
        <v>32</v>
      </c>
      <c r="Q112" s="291">
        <f t="shared" si="29"/>
        <v>12</v>
      </c>
      <c r="R112" s="291">
        <f t="shared" si="29"/>
        <v>10</v>
      </c>
      <c r="S112" s="291">
        <f t="shared" si="29"/>
        <v>10</v>
      </c>
      <c r="T112" s="290">
        <f t="shared" si="29"/>
        <v>28</v>
      </c>
      <c r="U112" s="291">
        <f t="shared" si="29"/>
        <v>8</v>
      </c>
      <c r="V112" s="291">
        <f t="shared" si="29"/>
        <v>12</v>
      </c>
      <c r="W112" s="291">
        <f t="shared" si="29"/>
        <v>8</v>
      </c>
    </row>
    <row r="113" spans="1:23" s="78" customFormat="1" ht="37.5" customHeight="1" thickBot="1">
      <c r="A113" s="74"/>
      <c r="B113" s="463" t="s">
        <v>98</v>
      </c>
      <c r="C113" s="464" t="s">
        <v>99</v>
      </c>
      <c r="D113" s="465"/>
      <c r="E113" s="247">
        <f>E51</f>
        <v>780</v>
      </c>
      <c r="F113" s="313">
        <f t="shared" ref="F113:W113" si="30">F51</f>
        <v>61</v>
      </c>
      <c r="G113" s="192">
        <f t="shared" si="30"/>
        <v>1.5025641025641026</v>
      </c>
      <c r="H113" s="290">
        <f t="shared" si="30"/>
        <v>291</v>
      </c>
      <c r="I113" s="290">
        <f t="shared" si="30"/>
        <v>97</v>
      </c>
      <c r="J113" s="290">
        <f t="shared" si="30"/>
        <v>100</v>
      </c>
      <c r="K113" s="290">
        <f t="shared" si="30"/>
        <v>94</v>
      </c>
      <c r="L113" s="290">
        <f t="shared" si="30"/>
        <v>310</v>
      </c>
      <c r="M113" s="290">
        <f t="shared" si="30"/>
        <v>106</v>
      </c>
      <c r="N113" s="290">
        <f t="shared" si="30"/>
        <v>109</v>
      </c>
      <c r="O113" s="290">
        <f t="shared" si="30"/>
        <v>95</v>
      </c>
      <c r="P113" s="290">
        <f t="shared" si="30"/>
        <v>277</v>
      </c>
      <c r="Q113" s="290">
        <f t="shared" si="30"/>
        <v>114</v>
      </c>
      <c r="R113" s="290">
        <f t="shared" si="30"/>
        <v>92</v>
      </c>
      <c r="S113" s="290">
        <f t="shared" si="30"/>
        <v>71</v>
      </c>
      <c r="T113" s="290">
        <f t="shared" si="30"/>
        <v>294</v>
      </c>
      <c r="U113" s="290">
        <f t="shared" si="30"/>
        <v>82</v>
      </c>
      <c r="V113" s="290">
        <f t="shared" si="30"/>
        <v>100</v>
      </c>
      <c r="W113" s="290">
        <f t="shared" si="30"/>
        <v>112</v>
      </c>
    </row>
    <row r="114" spans="1:23" s="78" customFormat="1" ht="18.75" customHeight="1" thickBot="1">
      <c r="A114" s="74"/>
      <c r="B114" s="463"/>
      <c r="C114" s="466" t="s">
        <v>87</v>
      </c>
      <c r="D114" s="441"/>
      <c r="E114" s="373">
        <f t="shared" ref="E114:H118" si="31">E52</f>
        <v>260</v>
      </c>
      <c r="F114" s="309">
        <f t="shared" ref="F114:F121" si="32">SUM(I114:W114)</f>
        <v>658</v>
      </c>
      <c r="G114" s="116">
        <f t="shared" si="31"/>
        <v>1.4692307692307693</v>
      </c>
      <c r="H114" s="290">
        <f>H52</f>
        <v>106</v>
      </c>
      <c r="I114" s="103">
        <f t="shared" ref="I114:K114" si="33">I52</f>
        <v>34</v>
      </c>
      <c r="J114" s="103">
        <f t="shared" si="33"/>
        <v>44</v>
      </c>
      <c r="K114" s="103">
        <f t="shared" si="33"/>
        <v>28</v>
      </c>
      <c r="L114" s="290">
        <f t="shared" ref="L114:W114" si="34">L52</f>
        <v>97</v>
      </c>
      <c r="M114" s="103">
        <f t="shared" si="34"/>
        <v>31</v>
      </c>
      <c r="N114" s="103">
        <f t="shared" si="34"/>
        <v>42</v>
      </c>
      <c r="O114" s="103">
        <f t="shared" si="34"/>
        <v>24</v>
      </c>
      <c r="P114" s="290">
        <f t="shared" si="34"/>
        <v>91</v>
      </c>
      <c r="Q114" s="103">
        <f t="shared" si="34"/>
        <v>41</v>
      </c>
      <c r="R114" s="103">
        <f t="shared" si="34"/>
        <v>32</v>
      </c>
      <c r="S114" s="103">
        <f t="shared" si="34"/>
        <v>18</v>
      </c>
      <c r="T114" s="290">
        <f t="shared" si="34"/>
        <v>88</v>
      </c>
      <c r="U114" s="103">
        <f t="shared" si="34"/>
        <v>22</v>
      </c>
      <c r="V114" s="103">
        <f t="shared" si="34"/>
        <v>41</v>
      </c>
      <c r="W114" s="103">
        <f t="shared" si="34"/>
        <v>25</v>
      </c>
    </row>
    <row r="115" spans="1:23" s="78" customFormat="1" ht="18.75" customHeight="1" thickBot="1">
      <c r="A115" s="74"/>
      <c r="B115" s="463"/>
      <c r="C115" s="466" t="s">
        <v>88</v>
      </c>
      <c r="D115" s="441"/>
      <c r="E115" s="373">
        <f t="shared" si="31"/>
        <v>0</v>
      </c>
      <c r="F115" s="309">
        <f t="shared" si="32"/>
        <v>0</v>
      </c>
      <c r="G115" s="116">
        <f t="shared" si="31"/>
        <v>0</v>
      </c>
      <c r="H115" s="290">
        <f t="shared" si="31"/>
        <v>0</v>
      </c>
      <c r="I115" s="103">
        <f t="shared" ref="I115:K115" si="35">I53</f>
        <v>0</v>
      </c>
      <c r="J115" s="103">
        <f t="shared" si="35"/>
        <v>0</v>
      </c>
      <c r="K115" s="103">
        <f t="shared" si="35"/>
        <v>0</v>
      </c>
      <c r="L115" s="290">
        <f t="shared" ref="L115:W115" si="36">L53</f>
        <v>0</v>
      </c>
      <c r="M115" s="103">
        <f t="shared" si="36"/>
        <v>0</v>
      </c>
      <c r="N115" s="103">
        <f t="shared" si="36"/>
        <v>0</v>
      </c>
      <c r="O115" s="103">
        <f t="shared" si="36"/>
        <v>0</v>
      </c>
      <c r="P115" s="290">
        <f t="shared" si="36"/>
        <v>0</v>
      </c>
      <c r="Q115" s="103">
        <f t="shared" si="36"/>
        <v>0</v>
      </c>
      <c r="R115" s="103">
        <f t="shared" si="36"/>
        <v>0</v>
      </c>
      <c r="S115" s="103">
        <f t="shared" si="36"/>
        <v>0</v>
      </c>
      <c r="T115" s="290">
        <f t="shared" si="36"/>
        <v>0</v>
      </c>
      <c r="U115" s="103">
        <f t="shared" si="36"/>
        <v>0</v>
      </c>
      <c r="V115" s="103">
        <f t="shared" si="36"/>
        <v>0</v>
      </c>
      <c r="W115" s="103">
        <f t="shared" si="36"/>
        <v>0</v>
      </c>
    </row>
    <row r="116" spans="1:23" s="78" customFormat="1" ht="18.75" customHeight="1" thickBot="1">
      <c r="A116" s="74"/>
      <c r="B116" s="463"/>
      <c r="C116" s="467" t="s">
        <v>89</v>
      </c>
      <c r="D116" s="449"/>
      <c r="E116" s="373">
        <f t="shared" si="31"/>
        <v>0</v>
      </c>
      <c r="F116" s="309">
        <f t="shared" si="32"/>
        <v>0</v>
      </c>
      <c r="G116" s="116">
        <f t="shared" si="31"/>
        <v>0</v>
      </c>
      <c r="H116" s="290">
        <f t="shared" si="31"/>
        <v>0</v>
      </c>
      <c r="I116" s="103">
        <f t="shared" ref="I116:K116" si="37">I54</f>
        <v>0</v>
      </c>
      <c r="J116" s="103">
        <f t="shared" si="37"/>
        <v>0</v>
      </c>
      <c r="K116" s="103">
        <f t="shared" si="37"/>
        <v>0</v>
      </c>
      <c r="L116" s="290">
        <f t="shared" ref="L116:W116" si="38">L54</f>
        <v>0</v>
      </c>
      <c r="M116" s="103">
        <f t="shared" si="38"/>
        <v>0</v>
      </c>
      <c r="N116" s="103">
        <f t="shared" si="38"/>
        <v>0</v>
      </c>
      <c r="O116" s="103">
        <f t="shared" si="38"/>
        <v>0</v>
      </c>
      <c r="P116" s="290">
        <f t="shared" si="38"/>
        <v>0</v>
      </c>
      <c r="Q116" s="103">
        <f t="shared" si="38"/>
        <v>0</v>
      </c>
      <c r="R116" s="103">
        <f t="shared" si="38"/>
        <v>0</v>
      </c>
      <c r="S116" s="103">
        <f t="shared" si="38"/>
        <v>0</v>
      </c>
      <c r="T116" s="290">
        <f t="shared" si="38"/>
        <v>0</v>
      </c>
      <c r="U116" s="103">
        <f t="shared" si="38"/>
        <v>0</v>
      </c>
      <c r="V116" s="103">
        <f t="shared" si="38"/>
        <v>0</v>
      </c>
      <c r="W116" s="103">
        <f t="shared" si="38"/>
        <v>0</v>
      </c>
    </row>
    <row r="117" spans="1:23" s="78" customFormat="1" ht="18.75" customHeight="1" thickBot="1">
      <c r="A117" s="74"/>
      <c r="B117" s="463"/>
      <c r="C117" s="467" t="s">
        <v>90</v>
      </c>
      <c r="D117" s="449"/>
      <c r="E117" s="373">
        <f t="shared" si="31"/>
        <v>0</v>
      </c>
      <c r="F117" s="309">
        <f t="shared" si="32"/>
        <v>0</v>
      </c>
      <c r="G117" s="116">
        <f t="shared" si="31"/>
        <v>0</v>
      </c>
      <c r="H117" s="290">
        <f t="shared" si="31"/>
        <v>0</v>
      </c>
      <c r="I117" s="103">
        <f t="shared" ref="I117:K117" si="39">I55</f>
        <v>0</v>
      </c>
      <c r="J117" s="103">
        <f t="shared" si="39"/>
        <v>0</v>
      </c>
      <c r="K117" s="103">
        <f t="shared" si="39"/>
        <v>0</v>
      </c>
      <c r="L117" s="290">
        <f t="shared" ref="L117:W117" si="40">L55</f>
        <v>0</v>
      </c>
      <c r="M117" s="103">
        <f t="shared" si="40"/>
        <v>0</v>
      </c>
      <c r="N117" s="103">
        <f t="shared" si="40"/>
        <v>0</v>
      </c>
      <c r="O117" s="103">
        <f t="shared" si="40"/>
        <v>0</v>
      </c>
      <c r="P117" s="290">
        <f t="shared" si="40"/>
        <v>0</v>
      </c>
      <c r="Q117" s="103">
        <f t="shared" si="40"/>
        <v>0</v>
      </c>
      <c r="R117" s="103">
        <f t="shared" si="40"/>
        <v>0</v>
      </c>
      <c r="S117" s="103">
        <f t="shared" si="40"/>
        <v>0</v>
      </c>
      <c r="T117" s="290">
        <f t="shared" si="40"/>
        <v>0</v>
      </c>
      <c r="U117" s="103">
        <f t="shared" si="40"/>
        <v>0</v>
      </c>
      <c r="V117" s="103">
        <f t="shared" si="40"/>
        <v>0</v>
      </c>
      <c r="W117" s="103">
        <f t="shared" si="40"/>
        <v>0</v>
      </c>
    </row>
    <row r="118" spans="1:23" s="78" customFormat="1" ht="18.75" customHeight="1" thickBot="1">
      <c r="A118" s="74"/>
      <c r="B118" s="463"/>
      <c r="C118" s="467" t="s">
        <v>91</v>
      </c>
      <c r="D118" s="449"/>
      <c r="E118" s="373">
        <f t="shared" si="31"/>
        <v>160</v>
      </c>
      <c r="F118" s="309">
        <f t="shared" si="32"/>
        <v>0</v>
      </c>
      <c r="G118" s="116">
        <f t="shared" si="31"/>
        <v>0</v>
      </c>
      <c r="H118" s="290">
        <f t="shared" si="31"/>
        <v>0</v>
      </c>
      <c r="I118" s="103">
        <f t="shared" ref="I118:K118" si="41">I56</f>
        <v>0</v>
      </c>
      <c r="J118" s="103">
        <f t="shared" si="41"/>
        <v>0</v>
      </c>
      <c r="K118" s="103">
        <f t="shared" si="41"/>
        <v>0</v>
      </c>
      <c r="L118" s="290">
        <f t="shared" ref="L118:W118" si="42">L56</f>
        <v>0</v>
      </c>
      <c r="M118" s="103">
        <f t="shared" si="42"/>
        <v>0</v>
      </c>
      <c r="N118" s="103">
        <f t="shared" si="42"/>
        <v>0</v>
      </c>
      <c r="O118" s="103">
        <f t="shared" si="42"/>
        <v>0</v>
      </c>
      <c r="P118" s="290">
        <f t="shared" si="42"/>
        <v>0</v>
      </c>
      <c r="Q118" s="103">
        <f t="shared" si="42"/>
        <v>0</v>
      </c>
      <c r="R118" s="103">
        <f t="shared" si="42"/>
        <v>0</v>
      </c>
      <c r="S118" s="103">
        <f t="shared" si="42"/>
        <v>0</v>
      </c>
      <c r="T118" s="290">
        <f t="shared" si="42"/>
        <v>0</v>
      </c>
      <c r="U118" s="103">
        <f t="shared" si="42"/>
        <v>0</v>
      </c>
      <c r="V118" s="103">
        <f t="shared" si="42"/>
        <v>0</v>
      </c>
      <c r="W118" s="103">
        <f t="shared" si="42"/>
        <v>0</v>
      </c>
    </row>
    <row r="119" spans="1:23" s="78" customFormat="1" ht="18.75" customHeight="1" thickBot="1">
      <c r="A119" s="74"/>
      <c r="B119" s="463"/>
      <c r="C119" s="467" t="s">
        <v>92</v>
      </c>
      <c r="D119" s="449"/>
      <c r="E119" s="373"/>
      <c r="F119" s="309">
        <f t="shared" si="32"/>
        <v>0</v>
      </c>
      <c r="G119" s="116"/>
      <c r="H119" s="290"/>
      <c r="I119" s="103"/>
      <c r="J119" s="103"/>
      <c r="K119" s="103"/>
      <c r="L119" s="290"/>
      <c r="M119" s="103"/>
      <c r="N119" s="103"/>
      <c r="O119" s="103"/>
      <c r="P119" s="290"/>
      <c r="Q119" s="103"/>
      <c r="R119" s="103"/>
      <c r="S119" s="103"/>
      <c r="T119" s="290"/>
      <c r="U119" s="103"/>
      <c r="V119" s="103"/>
      <c r="W119" s="103"/>
    </row>
    <row r="120" spans="1:23" s="78" customFormat="1" ht="18.75" customHeight="1" thickBot="1">
      <c r="A120" s="74"/>
      <c r="B120" s="463"/>
      <c r="C120" s="467" t="s">
        <v>93</v>
      </c>
      <c r="D120" s="449"/>
      <c r="E120" s="373">
        <f>E57</f>
        <v>176</v>
      </c>
      <c r="F120" s="309">
        <f t="shared" si="32"/>
        <v>402</v>
      </c>
      <c r="G120" s="116">
        <f>G57</f>
        <v>0</v>
      </c>
      <c r="H120" s="290">
        <f t="shared" ref="H120" si="43">H57</f>
        <v>42</v>
      </c>
      <c r="I120" s="103">
        <f t="shared" ref="I120:K120" si="44">I57</f>
        <v>12</v>
      </c>
      <c r="J120" s="103">
        <f t="shared" si="44"/>
        <v>14</v>
      </c>
      <c r="K120" s="103">
        <f t="shared" si="44"/>
        <v>16</v>
      </c>
      <c r="L120" s="290">
        <f t="shared" ref="L120:W120" si="45">L57</f>
        <v>69</v>
      </c>
      <c r="M120" s="103">
        <f t="shared" si="45"/>
        <v>28</v>
      </c>
      <c r="N120" s="103">
        <f t="shared" si="45"/>
        <v>18</v>
      </c>
      <c r="O120" s="103">
        <f t="shared" si="45"/>
        <v>23</v>
      </c>
      <c r="P120" s="290">
        <f t="shared" si="45"/>
        <v>59</v>
      </c>
      <c r="Q120" s="103">
        <f t="shared" si="45"/>
        <v>24</v>
      </c>
      <c r="R120" s="103">
        <f t="shared" si="45"/>
        <v>19</v>
      </c>
      <c r="S120" s="103">
        <f t="shared" si="45"/>
        <v>16</v>
      </c>
      <c r="T120" s="290">
        <f t="shared" si="45"/>
        <v>52</v>
      </c>
      <c r="U120" s="103">
        <f t="shared" si="45"/>
        <v>18</v>
      </c>
      <c r="V120" s="103">
        <f t="shared" si="45"/>
        <v>13</v>
      </c>
      <c r="W120" s="103">
        <f t="shared" si="45"/>
        <v>21</v>
      </c>
    </row>
    <row r="121" spans="1:23" s="78" customFormat="1" ht="20.25" customHeight="1" thickBot="1">
      <c r="A121" s="74"/>
      <c r="B121" s="463"/>
      <c r="C121" s="468" t="s">
        <v>94</v>
      </c>
      <c r="D121" s="469"/>
      <c r="E121" s="373">
        <f>E58</f>
        <v>184</v>
      </c>
      <c r="F121" s="312">
        <f t="shared" si="32"/>
        <v>377</v>
      </c>
      <c r="G121" s="120">
        <f>G58</f>
        <v>1.1521739130434783</v>
      </c>
      <c r="H121" s="290">
        <f t="shared" ref="H121" si="46">H58</f>
        <v>47</v>
      </c>
      <c r="I121" s="109">
        <f t="shared" ref="I121:K121" si="47">I58</f>
        <v>15</v>
      </c>
      <c r="J121" s="109">
        <f t="shared" si="47"/>
        <v>14</v>
      </c>
      <c r="K121" s="109">
        <f t="shared" si="47"/>
        <v>18</v>
      </c>
      <c r="L121" s="290">
        <f t="shared" ref="L121:W121" si="48">L58</f>
        <v>52</v>
      </c>
      <c r="M121" s="109">
        <f t="shared" si="48"/>
        <v>19</v>
      </c>
      <c r="N121" s="109">
        <f t="shared" si="48"/>
        <v>21</v>
      </c>
      <c r="O121" s="109">
        <f t="shared" si="48"/>
        <v>12</v>
      </c>
      <c r="P121" s="290">
        <f t="shared" si="48"/>
        <v>51</v>
      </c>
      <c r="Q121" s="109">
        <f t="shared" si="48"/>
        <v>21</v>
      </c>
      <c r="R121" s="109">
        <f t="shared" si="48"/>
        <v>15</v>
      </c>
      <c r="S121" s="109">
        <f t="shared" si="48"/>
        <v>15</v>
      </c>
      <c r="T121" s="290">
        <f t="shared" si="48"/>
        <v>62</v>
      </c>
      <c r="U121" s="109">
        <f t="shared" si="48"/>
        <v>14</v>
      </c>
      <c r="V121" s="109">
        <f t="shared" si="48"/>
        <v>24</v>
      </c>
      <c r="W121" s="109">
        <f t="shared" si="48"/>
        <v>24</v>
      </c>
    </row>
    <row r="122" spans="1:23" s="125" customFormat="1" ht="33" customHeight="1">
      <c r="A122" s="121"/>
      <c r="B122" s="80"/>
      <c r="C122" s="122"/>
      <c r="D122" s="122"/>
      <c r="E122" s="122"/>
      <c r="F122" s="310"/>
      <c r="G122" s="122"/>
      <c r="H122" s="123"/>
      <c r="I122" s="123"/>
      <c r="J122" s="123"/>
      <c r="K122" s="123"/>
      <c r="L122" s="123"/>
      <c r="M122" s="123"/>
      <c r="N122" s="123"/>
      <c r="O122" s="123"/>
      <c r="P122" s="123"/>
      <c r="Q122" s="123"/>
      <c r="R122" s="123"/>
      <c r="S122" s="123"/>
      <c r="T122" s="123"/>
      <c r="U122" s="123"/>
      <c r="V122" s="123"/>
      <c r="W122" s="123"/>
    </row>
    <row r="123" spans="1:23" s="78" customFormat="1" ht="24.75" customHeight="1" thickBot="1">
      <c r="A123" s="133"/>
      <c r="B123" s="134"/>
      <c r="C123" s="134"/>
      <c r="D123" s="134"/>
      <c r="E123" s="134"/>
      <c r="F123" s="305"/>
      <c r="G123" s="134"/>
      <c r="H123" s="134"/>
      <c r="I123" s="134"/>
      <c r="J123" s="134"/>
      <c r="K123" s="134"/>
      <c r="L123" s="134"/>
      <c r="M123" s="134"/>
      <c r="N123" s="134"/>
      <c r="O123" s="134"/>
      <c r="P123" s="134"/>
      <c r="Q123" s="134"/>
      <c r="R123" s="134"/>
      <c r="S123" s="134"/>
      <c r="T123" s="134"/>
      <c r="U123" s="134"/>
      <c r="V123" s="134"/>
      <c r="W123" s="134"/>
    </row>
    <row r="125" spans="1:23" ht="13" thickBot="1"/>
    <row r="126" spans="1:23" s="125" customFormat="1" ht="42.5" thickBot="1">
      <c r="A126" s="121"/>
      <c r="B126" s="411" t="s">
        <v>277</v>
      </c>
      <c r="C126" s="412"/>
      <c r="D126" s="413"/>
      <c r="E126" s="205" t="s">
        <v>55</v>
      </c>
      <c r="F126" s="374" t="s">
        <v>56</v>
      </c>
      <c r="G126" s="375" t="s">
        <v>57</v>
      </c>
      <c r="H126" s="286" t="s">
        <v>63</v>
      </c>
      <c r="I126" s="287">
        <v>45170</v>
      </c>
      <c r="J126" s="287">
        <v>45200</v>
      </c>
      <c r="K126" s="287">
        <v>45231</v>
      </c>
      <c r="L126" s="286" t="s">
        <v>64</v>
      </c>
      <c r="M126" s="287">
        <v>45261</v>
      </c>
      <c r="N126" s="286">
        <v>45292</v>
      </c>
      <c r="O126" s="287">
        <v>45323</v>
      </c>
      <c r="P126" s="286" t="s">
        <v>65</v>
      </c>
      <c r="Q126" s="287">
        <v>45352</v>
      </c>
      <c r="R126" s="287">
        <v>45383</v>
      </c>
      <c r="S126" s="287">
        <v>45413</v>
      </c>
      <c r="T126" s="287" t="s">
        <v>66</v>
      </c>
      <c r="U126" s="286">
        <v>45444</v>
      </c>
      <c r="V126" s="287">
        <v>45474</v>
      </c>
      <c r="W126" s="287">
        <v>45505</v>
      </c>
    </row>
    <row r="127" spans="1:23" s="125" customFormat="1" ht="26.25" customHeight="1">
      <c r="A127" s="121"/>
      <c r="B127" s="473" t="s">
        <v>281</v>
      </c>
      <c r="C127" s="474"/>
      <c r="D127" s="475"/>
      <c r="E127" s="376">
        <f>SUM(E79,E113)</f>
        <v>2717</v>
      </c>
      <c r="F127" s="376">
        <f>SUM(F79,F113)</f>
        <v>1129</v>
      </c>
      <c r="G127" s="382">
        <f>IF(ISBLANK(E127),"",F127/E127)</f>
        <v>0.41553183658446818</v>
      </c>
      <c r="H127" s="327">
        <f t="shared" ref="H127:W127" si="49">SUM(H79,H113)</f>
        <v>3706</v>
      </c>
      <c r="I127" s="327">
        <f t="shared" si="49"/>
        <v>1146</v>
      </c>
      <c r="J127" s="327">
        <f t="shared" si="49"/>
        <v>1474</v>
      </c>
      <c r="K127" s="327">
        <f t="shared" si="49"/>
        <v>1086</v>
      </c>
      <c r="L127" s="327">
        <f t="shared" si="49"/>
        <v>2961</v>
      </c>
      <c r="M127" s="327">
        <f t="shared" si="49"/>
        <v>1246</v>
      </c>
      <c r="N127" s="327">
        <f t="shared" si="49"/>
        <v>911</v>
      </c>
      <c r="O127" s="327">
        <f t="shared" si="49"/>
        <v>804</v>
      </c>
      <c r="P127" s="327">
        <f t="shared" si="49"/>
        <v>2704</v>
      </c>
      <c r="Q127" s="327">
        <f t="shared" si="49"/>
        <v>855</v>
      </c>
      <c r="R127" s="327">
        <f t="shared" si="49"/>
        <v>1035</v>
      </c>
      <c r="S127" s="327">
        <f t="shared" si="49"/>
        <v>814</v>
      </c>
      <c r="T127" s="327">
        <f t="shared" si="49"/>
        <v>3504</v>
      </c>
      <c r="U127" s="327">
        <f t="shared" si="49"/>
        <v>1139</v>
      </c>
      <c r="V127" s="327">
        <f t="shared" si="49"/>
        <v>1314</v>
      </c>
      <c r="W127" s="327">
        <f t="shared" si="49"/>
        <v>1051</v>
      </c>
    </row>
    <row r="128" spans="1:23" s="125" customFormat="1" ht="14.25" customHeight="1">
      <c r="A128" s="121"/>
      <c r="B128" s="476" t="s">
        <v>278</v>
      </c>
      <c r="C128" s="477"/>
      <c r="D128" s="478"/>
      <c r="E128" s="377">
        <f>SUM(E81,E82,E114,E118)</f>
        <v>1388</v>
      </c>
      <c r="F128" s="377">
        <f>SUM(F81,F82,F114,F118)</f>
        <v>1078</v>
      </c>
      <c r="G128" s="382">
        <f t="shared" ref="G128:G130" si="50">IF(ISBLANK(E128),"",F128/E128)</f>
        <v>0.77665706051873196</v>
      </c>
      <c r="H128" s="327">
        <f t="shared" ref="H128:W128" si="51">SUM(H81,H82,H114,H118)</f>
        <v>285</v>
      </c>
      <c r="I128" s="377">
        <f t="shared" si="51"/>
        <v>104</v>
      </c>
      <c r="J128" s="377">
        <f t="shared" si="51"/>
        <v>97</v>
      </c>
      <c r="K128" s="377">
        <f t="shared" si="51"/>
        <v>84</v>
      </c>
      <c r="L128" s="327">
        <f t="shared" si="51"/>
        <v>264</v>
      </c>
      <c r="M128" s="377">
        <f t="shared" si="51"/>
        <v>68</v>
      </c>
      <c r="N128" s="377">
        <f t="shared" si="51"/>
        <v>113</v>
      </c>
      <c r="O128" s="377">
        <f t="shared" si="51"/>
        <v>83</v>
      </c>
      <c r="P128" s="327">
        <f t="shared" si="51"/>
        <v>294</v>
      </c>
      <c r="Q128" s="377">
        <f t="shared" si="51"/>
        <v>108</v>
      </c>
      <c r="R128" s="377">
        <f t="shared" si="51"/>
        <v>82</v>
      </c>
      <c r="S128" s="377">
        <f t="shared" si="51"/>
        <v>104</v>
      </c>
      <c r="T128" s="327">
        <f t="shared" si="51"/>
        <v>389</v>
      </c>
      <c r="U128" s="377">
        <f t="shared" si="51"/>
        <v>145</v>
      </c>
      <c r="V128" s="377">
        <f t="shared" si="51"/>
        <v>130</v>
      </c>
      <c r="W128" s="377">
        <f t="shared" si="51"/>
        <v>114</v>
      </c>
    </row>
    <row r="129" spans="1:23" s="78" customFormat="1" ht="14">
      <c r="A129" s="74"/>
      <c r="B129" s="476" t="s">
        <v>279</v>
      </c>
      <c r="C129" s="477"/>
      <c r="D129" s="478"/>
      <c r="E129" s="377">
        <f>SUM(E80,E83)</f>
        <v>969</v>
      </c>
      <c r="F129" s="377">
        <f>SUM(F80,F83)</f>
        <v>648</v>
      </c>
      <c r="G129" s="382">
        <f t="shared" si="50"/>
        <v>0.66873065015479871</v>
      </c>
      <c r="H129" s="327">
        <f t="shared" ref="H129:W129" si="52">SUM(H80,H83)</f>
        <v>241</v>
      </c>
      <c r="I129" s="377">
        <f t="shared" si="52"/>
        <v>101</v>
      </c>
      <c r="J129" s="377">
        <f t="shared" si="52"/>
        <v>75</v>
      </c>
      <c r="K129" s="377">
        <f t="shared" si="52"/>
        <v>65</v>
      </c>
      <c r="L129" s="327">
        <f t="shared" si="52"/>
        <v>256</v>
      </c>
      <c r="M129" s="377">
        <f t="shared" si="52"/>
        <v>63</v>
      </c>
      <c r="N129" s="377">
        <f t="shared" si="52"/>
        <v>116</v>
      </c>
      <c r="O129" s="377">
        <f t="shared" si="52"/>
        <v>77</v>
      </c>
      <c r="P129" s="327">
        <f t="shared" si="52"/>
        <v>271</v>
      </c>
      <c r="Q129" s="377">
        <f t="shared" si="52"/>
        <v>93</v>
      </c>
      <c r="R129" s="377">
        <f t="shared" si="52"/>
        <v>84</v>
      </c>
      <c r="S129" s="377">
        <f t="shared" si="52"/>
        <v>94</v>
      </c>
      <c r="T129" s="327">
        <f t="shared" si="52"/>
        <v>558</v>
      </c>
      <c r="U129" s="377">
        <f t="shared" si="52"/>
        <v>285</v>
      </c>
      <c r="V129" s="377">
        <f t="shared" si="52"/>
        <v>122</v>
      </c>
      <c r="W129" s="377">
        <f t="shared" si="52"/>
        <v>151</v>
      </c>
    </row>
    <row r="130" spans="1:23" ht="14.5" thickBot="1">
      <c r="B130" s="470" t="s">
        <v>280</v>
      </c>
      <c r="C130" s="471"/>
      <c r="D130" s="472"/>
      <c r="E130" s="378">
        <f>SUM(E120:E121)</f>
        <v>360</v>
      </c>
      <c r="F130" s="378">
        <f>SUM(F120:F121)</f>
        <v>779</v>
      </c>
      <c r="G130" s="381">
        <f t="shared" si="50"/>
        <v>2.1638888888888888</v>
      </c>
      <c r="H130" s="327">
        <f>SUM(H120:H121)</f>
        <v>89</v>
      </c>
      <c r="I130" s="378">
        <f t="shared" ref="I130:W130" si="53">SUM(I120:I121)</f>
        <v>27</v>
      </c>
      <c r="J130" s="378">
        <f t="shared" si="53"/>
        <v>28</v>
      </c>
      <c r="K130" s="378">
        <f t="shared" si="53"/>
        <v>34</v>
      </c>
      <c r="L130" s="327">
        <f t="shared" si="53"/>
        <v>121</v>
      </c>
      <c r="M130" s="378">
        <f t="shared" si="53"/>
        <v>47</v>
      </c>
      <c r="N130" s="378">
        <f t="shared" si="53"/>
        <v>39</v>
      </c>
      <c r="O130" s="378">
        <f t="shared" si="53"/>
        <v>35</v>
      </c>
      <c r="P130" s="327">
        <f t="shared" si="53"/>
        <v>110</v>
      </c>
      <c r="Q130" s="378">
        <f t="shared" si="53"/>
        <v>45</v>
      </c>
      <c r="R130" s="378">
        <f t="shared" si="53"/>
        <v>34</v>
      </c>
      <c r="S130" s="378">
        <f t="shared" si="53"/>
        <v>31</v>
      </c>
      <c r="T130" s="327">
        <f t="shared" si="53"/>
        <v>114</v>
      </c>
      <c r="U130" s="378">
        <f t="shared" si="53"/>
        <v>32</v>
      </c>
      <c r="V130" s="378">
        <f t="shared" si="53"/>
        <v>37</v>
      </c>
      <c r="W130" s="378">
        <f t="shared" si="53"/>
        <v>45</v>
      </c>
    </row>
    <row r="131" spans="1:23" ht="14">
      <c r="B131" s="379"/>
      <c r="C131" s="380"/>
      <c r="D131" s="380"/>
      <c r="E131" s="380"/>
      <c r="F131" s="380"/>
      <c r="G131" s="380"/>
      <c r="H131" s="123"/>
      <c r="I131" s="123"/>
      <c r="J131" s="123"/>
      <c r="K131" s="123"/>
      <c r="L131" s="123"/>
      <c r="M131" s="123"/>
      <c r="N131" s="123"/>
      <c r="O131" s="123"/>
      <c r="P131" s="123"/>
      <c r="Q131" s="123"/>
      <c r="R131" s="123"/>
      <c r="S131" s="123"/>
      <c r="T131" s="123"/>
      <c r="U131" s="123"/>
      <c r="V131" s="123"/>
      <c r="W131" s="123"/>
    </row>
    <row r="132" spans="1:23" ht="14">
      <c r="B132" s="76"/>
      <c r="C132" s="76"/>
      <c r="D132" s="76"/>
      <c r="E132" s="76"/>
      <c r="F132" s="76"/>
      <c r="G132" s="76"/>
      <c r="H132" s="76"/>
      <c r="I132" s="76"/>
      <c r="J132" s="76"/>
      <c r="K132" s="76"/>
      <c r="L132" s="76"/>
      <c r="M132" s="76"/>
      <c r="N132" s="76"/>
      <c r="O132" s="76"/>
      <c r="P132" s="76"/>
      <c r="Q132" s="76"/>
      <c r="R132" s="76"/>
      <c r="S132" s="76"/>
      <c r="T132" s="76"/>
      <c r="U132" s="76"/>
      <c r="V132" s="76"/>
      <c r="W132" s="76"/>
    </row>
  </sheetData>
  <sheetProtection formatCells="0" formatColumns="0" formatRows="0" insertColumns="0" insertRows="0" insertHyperlinks="0" deleteColumns="0" deleteRows="0" selectLockedCells="1" sort="0" autoFilter="0" pivotTables="0"/>
  <mergeCells count="63">
    <mergeCell ref="B130:D130"/>
    <mergeCell ref="B126:D126"/>
    <mergeCell ref="B127:D127"/>
    <mergeCell ref="B128:D128"/>
    <mergeCell ref="B129:D129"/>
    <mergeCell ref="B113:B121"/>
    <mergeCell ref="C113:D113"/>
    <mergeCell ref="C114:D114"/>
    <mergeCell ref="C115:D115"/>
    <mergeCell ref="C116:D116"/>
    <mergeCell ref="C117:D117"/>
    <mergeCell ref="C118:D118"/>
    <mergeCell ref="C119:D119"/>
    <mergeCell ref="C120:D120"/>
    <mergeCell ref="C121:D121"/>
    <mergeCell ref="B106:B112"/>
    <mergeCell ref="C106:D106"/>
    <mergeCell ref="C107:D107"/>
    <mergeCell ref="C108:D108"/>
    <mergeCell ref="C109:D109"/>
    <mergeCell ref="C110:D110"/>
    <mergeCell ref="C111:D111"/>
    <mergeCell ref="C112:D112"/>
    <mergeCell ref="C88:D88"/>
    <mergeCell ref="C91:D91"/>
    <mergeCell ref="C92:D92"/>
    <mergeCell ref="C93:D93"/>
    <mergeCell ref="C94:D94"/>
    <mergeCell ref="C89:D89"/>
    <mergeCell ref="C90:D90"/>
    <mergeCell ref="C101:D101"/>
    <mergeCell ref="C102:D102"/>
    <mergeCell ref="C103:D103"/>
    <mergeCell ref="C104:D104"/>
    <mergeCell ref="C105:D105"/>
    <mergeCell ref="B79:B105"/>
    <mergeCell ref="C79:D79"/>
    <mergeCell ref="C80:D80"/>
    <mergeCell ref="C81:D81"/>
    <mergeCell ref="C82:D82"/>
    <mergeCell ref="C83:D83"/>
    <mergeCell ref="C84:D84"/>
    <mergeCell ref="C85:D85"/>
    <mergeCell ref="C86:D86"/>
    <mergeCell ref="C87:D87"/>
    <mergeCell ref="C95:D95"/>
    <mergeCell ref="C96:D96"/>
    <mergeCell ref="C97:D97"/>
    <mergeCell ref="C98:D98"/>
    <mergeCell ref="C99:D99"/>
    <mergeCell ref="C100:D100"/>
    <mergeCell ref="B78:D78"/>
    <mergeCell ref="B75:D75"/>
    <mergeCell ref="C2:W4"/>
    <mergeCell ref="B70:D70"/>
    <mergeCell ref="B71:B73"/>
    <mergeCell ref="C71:D71"/>
    <mergeCell ref="C72:D72"/>
    <mergeCell ref="C73:D73"/>
    <mergeCell ref="B13:B66"/>
    <mergeCell ref="C13:C23"/>
    <mergeCell ref="C59:C66"/>
    <mergeCell ref="C24:C58"/>
  </mergeCells>
  <conditionalFormatting sqref="C6 M23:O23 Q23:S23 U23:W23 I23:K23">
    <cfRule type="cellIs" dxfId="278" priority="323" stopIfTrue="1" operator="notEqual">
      <formula>""</formula>
    </cfRule>
  </conditionalFormatting>
  <conditionalFormatting sqref="C6">
    <cfRule type="expression" dxfId="277" priority="322" stopIfTrue="1">
      <formula>ISBLANK(C6)</formula>
    </cfRule>
  </conditionalFormatting>
  <conditionalFormatting sqref="C8">
    <cfRule type="cellIs" dxfId="276" priority="321" stopIfTrue="1" operator="notEqual">
      <formula>""</formula>
    </cfRule>
  </conditionalFormatting>
  <conditionalFormatting sqref="C8">
    <cfRule type="expression" dxfId="275" priority="320" stopIfTrue="1">
      <formula>ISBLANK(C8)</formula>
    </cfRule>
  </conditionalFormatting>
  <conditionalFormatting sqref="I28:K29 U28:W29 Q28:S29 M28:O29">
    <cfRule type="cellIs" dxfId="274" priority="199" stopIfTrue="1" operator="notEqual">
      <formula>""</formula>
    </cfRule>
  </conditionalFormatting>
  <conditionalFormatting sqref="U39:W40 Q39:S40 M39:O40 M43:O45 Q43:S45 U43:W44 I43:K44 I39:K40">
    <cfRule type="cellIs" dxfId="273" priority="212" stopIfTrue="1" operator="notEqual">
      <formula>""</formula>
    </cfRule>
  </conditionalFormatting>
  <conditionalFormatting sqref="J45:K45">
    <cfRule type="cellIs" dxfId="272" priority="207" stopIfTrue="1" operator="notEqual">
      <formula>""</formula>
    </cfRule>
  </conditionalFormatting>
  <conditionalFormatting sqref="I45">
    <cfRule type="cellIs" dxfId="271" priority="206" stopIfTrue="1" operator="notEqual">
      <formula>""</formula>
    </cfRule>
  </conditionalFormatting>
  <conditionalFormatting sqref="I42:K42 U42:W42 Q42:S42 M42:O42">
    <cfRule type="cellIs" dxfId="270" priority="180" stopIfTrue="1" operator="notEqual">
      <formula>""</formula>
    </cfRule>
  </conditionalFormatting>
  <conditionalFormatting sqref="U45:W45">
    <cfRule type="cellIs" dxfId="269" priority="159" stopIfTrue="1" operator="notEqual">
      <formula>""</formula>
    </cfRule>
  </conditionalFormatting>
  <conditionalFormatting sqref="O30:W30">
    <cfRule type="expression" dxfId="268" priority="140">
      <formula>AND(#REF!&lt;(#REF!-31),ISBLANK(#REF!))</formula>
    </cfRule>
    <cfRule type="expression" dxfId="267" priority="141">
      <formula>#REF!&gt;#REF!</formula>
    </cfRule>
  </conditionalFormatting>
  <conditionalFormatting sqref="H30:N30">
    <cfRule type="expression" dxfId="266" priority="138">
      <formula>AND(#REF!&lt;(#REF!-31),ISBLANK(#REF!))</formula>
    </cfRule>
    <cfRule type="expression" dxfId="265" priority="139">
      <formula>#REF!&gt;#REF!</formula>
    </cfRule>
  </conditionalFormatting>
  <conditionalFormatting sqref="H31:H34">
    <cfRule type="expression" dxfId="264" priority="136">
      <formula>AND(#REF!&lt;(#REF!-31),ISBLANK(#REF!))</formula>
    </cfRule>
    <cfRule type="expression" dxfId="263" priority="137">
      <formula>#REF!&gt;#REF!</formula>
    </cfRule>
  </conditionalFormatting>
  <conditionalFormatting sqref="U31:W32">
    <cfRule type="cellIs" dxfId="262" priority="135" stopIfTrue="1" operator="notEqual">
      <formula>""</formula>
    </cfRule>
  </conditionalFormatting>
  <conditionalFormatting sqref="U33:W34">
    <cfRule type="cellIs" dxfId="261" priority="134" stopIfTrue="1" operator="notEqual">
      <formula>""</formula>
    </cfRule>
  </conditionalFormatting>
  <conditionalFormatting sqref="Q31:S32">
    <cfRule type="cellIs" dxfId="260" priority="133" stopIfTrue="1" operator="notEqual">
      <formula>""</formula>
    </cfRule>
  </conditionalFormatting>
  <conditionalFormatting sqref="Q33:S34">
    <cfRule type="cellIs" dxfId="259" priority="132" stopIfTrue="1" operator="notEqual">
      <formula>""</formula>
    </cfRule>
  </conditionalFormatting>
  <conditionalFormatting sqref="M31:O32">
    <cfRule type="cellIs" dxfId="258" priority="131" stopIfTrue="1" operator="notEqual">
      <formula>""</formula>
    </cfRule>
  </conditionalFormatting>
  <conditionalFormatting sqref="M33:O34">
    <cfRule type="cellIs" dxfId="257" priority="130" stopIfTrue="1" operator="notEqual">
      <formula>""</formula>
    </cfRule>
  </conditionalFormatting>
  <conditionalFormatting sqref="I31:K32">
    <cfRule type="cellIs" dxfId="256" priority="129" stopIfTrue="1" operator="notEqual">
      <formula>""</formula>
    </cfRule>
  </conditionalFormatting>
  <conditionalFormatting sqref="I33:K34">
    <cfRule type="cellIs" dxfId="255" priority="128" stopIfTrue="1" operator="notEqual">
      <formula>""</formula>
    </cfRule>
  </conditionalFormatting>
  <conditionalFormatting sqref="Q21:S21 U21:W21">
    <cfRule type="cellIs" dxfId="254" priority="111" stopIfTrue="1" operator="notEqual">
      <formula>""</formula>
    </cfRule>
  </conditionalFormatting>
  <conditionalFormatting sqref="I21:K21">
    <cfRule type="cellIs" dxfId="253" priority="110" stopIfTrue="1" operator="notEqual">
      <formula>""</formula>
    </cfRule>
  </conditionalFormatting>
  <conditionalFormatting sqref="Q20:S20 U20:W20">
    <cfRule type="cellIs" dxfId="252" priority="105" stopIfTrue="1" operator="notEqual">
      <formula>""</formula>
    </cfRule>
  </conditionalFormatting>
  <conditionalFormatting sqref="M21:O21">
    <cfRule type="cellIs" dxfId="251" priority="108" stopIfTrue="1" operator="notEqual">
      <formula>""</formula>
    </cfRule>
  </conditionalFormatting>
  <conditionalFormatting sqref="M20:O20">
    <cfRule type="cellIs" dxfId="250" priority="103" stopIfTrue="1" operator="notEqual">
      <formula>""</formula>
    </cfRule>
  </conditionalFormatting>
  <conditionalFormatting sqref="M22:O22 Q22:S22 U22:W22 I22:K22">
    <cfRule type="cellIs" dxfId="249" priority="106" stopIfTrue="1" operator="notEqual">
      <formula>""</formula>
    </cfRule>
  </conditionalFormatting>
  <conditionalFormatting sqref="I20:K20">
    <cfRule type="cellIs" dxfId="248" priority="104" stopIfTrue="1" operator="notEqual">
      <formula>""</formula>
    </cfRule>
  </conditionalFormatting>
  <conditionalFormatting sqref="M18:O18 Q18:S18 U18:W18 I18:K18">
    <cfRule type="cellIs" dxfId="247" priority="101" stopIfTrue="1" operator="notEqual">
      <formula>""</formula>
    </cfRule>
  </conditionalFormatting>
  <conditionalFormatting sqref="M17:O17 Q17:S17 U17:W17 I17:K17">
    <cfRule type="cellIs" dxfId="246" priority="102" stopIfTrue="1" operator="notEqual">
      <formula>""</formula>
    </cfRule>
  </conditionalFormatting>
  <conditionalFormatting sqref="I64:K64">
    <cfRule type="expression" dxfId="245" priority="83">
      <formula>AND(#REF!&lt;(#REF!-31),ISBLANK(#REF!))</formula>
    </cfRule>
    <cfRule type="expression" dxfId="244" priority="84">
      <formula>#REF!&gt;#REF!</formula>
    </cfRule>
  </conditionalFormatting>
  <conditionalFormatting sqref="L64:L65">
    <cfRule type="expression" dxfId="243" priority="81">
      <formula>AND(#REF!&lt;(#REF!-31),ISBLANK(#REF!))</formula>
    </cfRule>
    <cfRule type="expression" dxfId="242" priority="82">
      <formula>#REF!&gt;#REF!</formula>
    </cfRule>
  </conditionalFormatting>
  <conditionalFormatting sqref="P64:P65">
    <cfRule type="expression" dxfId="241" priority="79">
      <formula>AND(#REF!&lt;(#REF!-31),ISBLANK(#REF!))</formula>
    </cfRule>
    <cfRule type="expression" dxfId="240" priority="80">
      <formula>#REF!&gt;#REF!</formula>
    </cfRule>
  </conditionalFormatting>
  <conditionalFormatting sqref="M64:O64">
    <cfRule type="expression" dxfId="239" priority="77">
      <formula>AND(#REF!&lt;(#REF!-31),ISBLANK(#REF!))</formula>
    </cfRule>
    <cfRule type="expression" dxfId="238" priority="78">
      <formula>#REF!&gt;#REF!</formula>
    </cfRule>
  </conditionalFormatting>
  <conditionalFormatting sqref="Q64:S64">
    <cfRule type="expression" dxfId="237" priority="75">
      <formula>AND(#REF!&lt;(#REF!-31),ISBLANK(#REF!))</formula>
    </cfRule>
    <cfRule type="expression" dxfId="236" priority="76">
      <formula>#REF!&gt;#REF!</formula>
    </cfRule>
  </conditionalFormatting>
  <conditionalFormatting sqref="U64:W64">
    <cfRule type="expression" dxfId="235" priority="73">
      <formula>AND(#REF!&lt;(#REF!-31),ISBLANK(#REF!))</formula>
    </cfRule>
    <cfRule type="expression" dxfId="234" priority="74">
      <formula>#REF!&gt;#REF!</formula>
    </cfRule>
  </conditionalFormatting>
  <conditionalFormatting sqref="I36:J37">
    <cfRule type="cellIs" dxfId="233" priority="13" stopIfTrue="1" operator="notEqual">
      <formula>""</formula>
    </cfRule>
  </conditionalFormatting>
  <conditionalFormatting sqref="K37">
    <cfRule type="cellIs" dxfId="232" priority="8" stopIfTrue="1" operator="notEqual">
      <formula>""</formula>
    </cfRule>
  </conditionalFormatting>
  <conditionalFormatting sqref="K36">
    <cfRule type="cellIs" dxfId="231" priority="7" stopIfTrue="1" operator="notEqual">
      <formula>""</formula>
    </cfRule>
  </conditionalFormatting>
  <conditionalFormatting sqref="H35:J35">
    <cfRule type="expression" dxfId="230" priority="11">
      <formula>AND(#REF!&lt;(#REF!-31),ISBLANK(#REF!))</formula>
    </cfRule>
    <cfRule type="expression" dxfId="229" priority="12">
      <formula>#REF!&gt;#REF!</formula>
    </cfRule>
  </conditionalFormatting>
  <conditionalFormatting sqref="K35:W35">
    <cfRule type="expression" dxfId="228" priority="9">
      <formula>AND(#REF!&lt;(#REF!-31),ISBLANK(#REF!))</formula>
    </cfRule>
    <cfRule type="expression" dxfId="227" priority="10">
      <formula>#REF!&gt;#REF!</formula>
    </cfRule>
  </conditionalFormatting>
  <conditionalFormatting sqref="H35:J35">
    <cfRule type="colorScale" priority="14">
      <colorScale>
        <cfvo type="min"/>
        <cfvo type="percentile" val="50"/>
        <cfvo type="max"/>
        <color rgb="FFF8696B"/>
        <color rgb="FFFFEB84"/>
        <color rgb="FF63BE7B"/>
      </colorScale>
    </cfRule>
  </conditionalFormatting>
  <conditionalFormatting sqref="K35:W35">
    <cfRule type="colorScale" priority="786">
      <colorScale>
        <cfvo type="min"/>
        <cfvo type="percentile" val="50"/>
        <cfvo type="max"/>
        <color rgb="FFF8696B"/>
        <color rgb="FFFFEB84"/>
        <color rgb="FF63BE7B"/>
      </colorScale>
    </cfRule>
  </conditionalFormatting>
  <conditionalFormatting sqref="C7">
    <cfRule type="cellIs" dxfId="226" priority="2" stopIfTrue="1" operator="notEqual">
      <formula>""</formula>
    </cfRule>
  </conditionalFormatting>
  <conditionalFormatting sqref="C7">
    <cfRule type="expression" dxfId="225" priority="1" stopIfTrue="1">
      <formula>ISBLANK(C7)</formula>
    </cfRule>
  </conditionalFormatting>
  <dataValidations xWindow="167" yWindow="832" count="10">
    <dataValidation allowBlank="1" showInputMessage="1" showErrorMessage="1" promptTitle="Data" prompt="If no  data for a month, for example between Baseline and PDM, please note N/A in the corresponding cell" sqref="U38:W38 U46:W46 Q38:S38 M46:O46 Q46:S46 I46:K46 I38:K38 M38:O38 Q27:S27 I27:K27 M27:O27 U27:W27 Q19:S19 I19:K19 M19:O19 U19:W19 I51:K51 M51:O51 Q51:S51 U51:W51 T27:T29 P27:P29 L27:L29 I30:W30 M41:O41 U41:W41 Q41:S41 I41:K41 H79:W79 P51:P58 M59:W59 I59:K59 T51:T58 T17:T23 H17:H23 L17:L23 P17:P23 T60:T66 L51:L63 L65:L66 P65:P66 P60:P63 U64:W64 I64:S64 H51:H66 H88:W88 H97:W97 H106:W106 H113:W113 P31:P34 T31:T46 H27:H46 P36:P46 L31:L46 M35:S35 U35:W35 I35:K35"/>
    <dataValidation allowBlank="1" showInputMessage="1" showErrorMessage="1" promptTitle="Gender/Age" prompt="You can add rows if you need to disaggregate indicators (Gender/Age)" sqref="D24 D46 D27 D38 D13 D19 D51 D59 D16 D64"/>
    <dataValidation allowBlank="1" showInputMessage="1" showErrorMessage="1" promptTitle="In case of amendment" prompt="Please modify the goal (target) and add a comment with the Amendment number and previous goal (target)" sqref="E51 E40:E46 E57:E66 E12:E38"/>
    <dataValidation allowBlank="1" showInputMessage="1" showErrorMessage="1" promptTitle="Formula" prompt="This cell contains automatic calculation. Please do not modify." sqref="E71 G71:W71 E79:F79 E88:F88 E97:F97 E113:F113 E98:E100 F71:F73 E106:G106 E89:E94 E114:E121"/>
    <dataValidation allowBlank="1" showInputMessage="1" showErrorMessage="1" promptTitle="Local currency" prompt="Please indicate the local currency in column C" sqref="C79:D79"/>
    <dataValidation allowBlank="1" showInputMessage="1" showErrorMessage="1" prompt="This cell contains automatic calculation. Please do not modify." sqref="F89:F96 H111:W112 E85 F98:F105 F114:F121 F82:F83 H81:W83 F107:G112"/>
    <dataValidation allowBlank="1" showInputMessage="1" showErrorMessage="1" promptTitle="Network indicators" prompt="Network indicators (Part 3) have to be monitored in part 2" sqref="D12"/>
    <dataValidation allowBlank="1" showInputMessage="1" showErrorMessage="1" prompt="Last day of the reporting month _x000a_DD/MM/YY" sqref="S6 V6 C6:C8"/>
    <dataValidation allowBlank="1" showInputMessage="1" showErrorMessage="1" promptTitle="Formula" prompt="This cell contains an automatic calculation._x000a_Modify only if relevant." sqref="G79:G105 M42:O45 U28:W29 I28:K29 Q28:S29 Q42:S45 I42:K45 M28:O29 U42:W44 I39:K40 Q39:S40 M39:O40 U39:W40 M52:O58 Q52:S58 I52:K58 U52:W58 Q20:S23 U20:W23 I20:K23 M20:O23 M17:O18 Q17:S18 U17:W18 I17:K18 H73:W73 G72:G73 Q65:S66 U65:W66 M65:O66 I65:K66 I60:K63 M60:O63 U60:W63 Q60:S63 G113:G121 M31:O34 Q31:S34 U31:W34 I31:K34 I36:K37 F13:G66"/>
    <dataValidation allowBlank="1" showInputMessage="1" showErrorMessage="1" promptTitle="Counting U5s" prompt="Please remember including under-fives._x000a_Total beneficiaries is _x000a_Female (Women, girls and female U5s) + Male (Men, boys and male U5s)." sqref="B127"/>
  </dataValidations>
  <printOptions horizontalCentered="1" verticalCentered="1"/>
  <pageMargins left="0" right="0" top="0" bottom="0" header="0" footer="0"/>
  <pageSetup paperSize="8" scale="37" orientation="landscape" r:id="rId1"/>
  <headerFooter alignWithMargins="0"/>
  <drawing r:id="rId2"/>
  <extLst>
    <ext xmlns:x14="http://schemas.microsoft.com/office/spreadsheetml/2009/9/main" uri="{78C0D931-6437-407d-A8EE-F0AAD7539E65}">
      <x14:conditionalFormattings>
        <x14:conditionalFormatting xmlns:xm="http://schemas.microsoft.com/office/excel/2006/main">
          <x14:cfRule type="expression" priority="227" id="{DE9E3B19-9214-4B88-A413-34273119B6DB}">
            <xm:f>AND(#REF!&lt;('\Users\ACF\Documents\APRs\[D56_APR Quantitative_FV.xlsm]Part 1 - Project Info'!#REF!-31),ISBLANK(#REF!))</xm:f>
            <x14:dxf>
              <fill>
                <patternFill>
                  <bgColor rgb="FFFFFF00"/>
                </patternFill>
              </fill>
            </x14:dxf>
          </x14:cfRule>
          <x14:cfRule type="expression" priority="228" id="{EDA18CEC-63AC-43B8-BFBE-6C38B61CEAE1}">
            <xm:f>#REF!&gt;'\Users\ACF\Documents\APRs\[D56_APR Quantitative_FV.xlsm]Part 1 - Project Info'!#REF!</xm:f>
            <x14:dxf>
              <fill>
                <patternFill>
                  <bgColor theme="0" tint="-0.14996795556505021"/>
                </patternFill>
              </fill>
            </x14:dxf>
          </x14:cfRule>
          <xm:sqref>H46</xm:sqref>
        </x14:conditionalFormatting>
        <x14:conditionalFormatting xmlns:xm="http://schemas.microsoft.com/office/excel/2006/main">
          <x14:cfRule type="expression" priority="225" id="{72CC297C-02C1-40E3-91B5-33FE4F393A70}">
            <xm:f>AND(#REF!&lt;('\Users\ACF\Documents\APRs\[D56_APR Quantitative_FV.xlsm]Part 1 - Project Info'!#REF!-31),ISBLANK(#REF!))</xm:f>
            <x14:dxf>
              <fill>
                <patternFill>
                  <bgColor rgb="FFFFFF00"/>
                </patternFill>
              </fill>
            </x14:dxf>
          </x14:cfRule>
          <x14:cfRule type="expression" priority="226" id="{7BF96598-0063-4D5E-89A1-285569767A6D}">
            <xm:f>#REF!&gt;'\Users\ACF\Documents\APRs\[D56_APR Quantitative_FV.xlsm]Part 1 - Project Info'!#REF!</xm:f>
            <x14:dxf>
              <fill>
                <patternFill>
                  <bgColor theme="0" tint="-0.14996795556505021"/>
                </patternFill>
              </fill>
            </x14:dxf>
          </x14:cfRule>
          <xm:sqref>I46:K46</xm:sqref>
        </x14:conditionalFormatting>
        <x14:conditionalFormatting xmlns:xm="http://schemas.microsoft.com/office/excel/2006/main">
          <x14:cfRule type="expression" priority="223" id="{E4EB7C32-33BB-4572-8169-E5EECE89D3C7}">
            <xm:f>AND(#REF!&lt;('\Users\ACF\Documents\APRs\[D56_APR Quantitative_FV.xlsm]Part 1 - Project Info'!#REF!-31),ISBLANK(#REF!))</xm:f>
            <x14:dxf>
              <fill>
                <patternFill>
                  <bgColor rgb="FFFFFF00"/>
                </patternFill>
              </fill>
            </x14:dxf>
          </x14:cfRule>
          <x14:cfRule type="expression" priority="224" id="{64757519-E68D-40FB-B7B0-65400741FC94}">
            <xm:f>#REF!&gt;'\Users\ACF\Documents\APRs\[D56_APR Quantitative_FV.xlsm]Part 1 - Project Info'!#REF!</xm:f>
            <x14:dxf>
              <fill>
                <patternFill>
                  <bgColor theme="0" tint="-0.14996795556505021"/>
                </patternFill>
              </fill>
            </x14:dxf>
          </x14:cfRule>
          <xm:sqref>M46:O46</xm:sqref>
        </x14:conditionalFormatting>
        <x14:conditionalFormatting xmlns:xm="http://schemas.microsoft.com/office/excel/2006/main">
          <x14:cfRule type="expression" priority="221" id="{340FB343-D6E9-444A-8E57-37165482A484}">
            <xm:f>AND(#REF!&lt;('\Users\ACF\Documents\APRs\[D56_APR Quantitative_FV.xlsm]Part 1 - Project Info'!#REF!-31),ISBLANK(#REF!))</xm:f>
            <x14:dxf>
              <fill>
                <patternFill>
                  <bgColor rgb="FFFFFF00"/>
                </patternFill>
              </fill>
            </x14:dxf>
          </x14:cfRule>
          <x14:cfRule type="expression" priority="222" id="{663EB2F7-4FF8-40D9-A178-878639AE8C75}">
            <xm:f>#REF!&gt;'\Users\ACF\Documents\APRs\[D56_APR Quantitative_FV.xlsm]Part 1 - Project Info'!#REF!</xm:f>
            <x14:dxf>
              <fill>
                <patternFill>
                  <bgColor theme="0" tint="-0.14996795556505021"/>
                </patternFill>
              </fill>
            </x14:dxf>
          </x14:cfRule>
          <xm:sqref>Q46:S46</xm:sqref>
        </x14:conditionalFormatting>
        <x14:conditionalFormatting xmlns:xm="http://schemas.microsoft.com/office/excel/2006/main">
          <x14:cfRule type="expression" priority="219" id="{39F96A9D-C993-4DE1-908D-6428EB434ED4}">
            <xm:f>AND(#REF!&lt;('\Users\ACF\Documents\APRs\[D56_APR Quantitative_FV.xlsm]Part 1 - Project Info'!#REF!-31),ISBLANK(#REF!))</xm:f>
            <x14:dxf>
              <fill>
                <patternFill>
                  <bgColor rgb="FFFFFF00"/>
                </patternFill>
              </fill>
            </x14:dxf>
          </x14:cfRule>
          <x14:cfRule type="expression" priority="220" id="{5B86EC81-10C2-4F36-95AE-17C14BDEC5CD}">
            <xm:f>#REF!&gt;'\Users\ACF\Documents\APRs\[D56_APR Quantitative_FV.xlsm]Part 1 - Project Info'!#REF!</xm:f>
            <x14:dxf>
              <fill>
                <patternFill>
                  <bgColor theme="0" tint="-0.14996795556505021"/>
                </patternFill>
              </fill>
            </x14:dxf>
          </x14:cfRule>
          <xm:sqref>U46:W46</xm:sqref>
        </x14:conditionalFormatting>
        <x14:conditionalFormatting xmlns:xm="http://schemas.microsoft.com/office/excel/2006/main">
          <x14:cfRule type="expression" priority="217" id="{2A65ADE1-5783-43C3-80B6-4D1E874EF8C2}">
            <xm:f>AND(#REF!&lt;('\Users\ACF\Documents\APRs\[D56_APR Quantitative_FV.xlsm]Part 1 - Project Info'!#REF!-31),ISBLANK(#REF!))</xm:f>
            <x14:dxf>
              <fill>
                <patternFill>
                  <bgColor rgb="FFFFFF00"/>
                </patternFill>
              </fill>
            </x14:dxf>
          </x14:cfRule>
          <x14:cfRule type="expression" priority="218" id="{0ED9DCC8-6AC6-41D2-B8A6-2F387669F7E1}">
            <xm:f>#REF!&gt;'\Users\ACF\Documents\APRs\[D56_APR Quantitative_FV.xlsm]Part 1 - Project Info'!#REF!</xm:f>
            <x14:dxf>
              <fill>
                <patternFill>
                  <bgColor theme="0" tint="-0.14996795556505021"/>
                </patternFill>
              </fill>
            </x14:dxf>
          </x14:cfRule>
          <xm:sqref>L46</xm:sqref>
        </x14:conditionalFormatting>
        <x14:conditionalFormatting xmlns:xm="http://schemas.microsoft.com/office/excel/2006/main">
          <x14:cfRule type="expression" priority="215" id="{783F0CCC-0248-473E-9676-0D9B1CC98DBD}">
            <xm:f>AND(#REF!&lt;('\Users\ACF\Documents\APRs\[D56_APR Quantitative_FV.xlsm]Part 1 - Project Info'!#REF!-31),ISBLANK(#REF!))</xm:f>
            <x14:dxf>
              <fill>
                <patternFill>
                  <bgColor rgb="FFFFFF00"/>
                </patternFill>
              </fill>
            </x14:dxf>
          </x14:cfRule>
          <x14:cfRule type="expression" priority="216" id="{1A7A124C-1084-4AFD-9C3B-0AFAA34F4807}">
            <xm:f>#REF!&gt;'\Users\ACF\Documents\APRs\[D56_APR Quantitative_FV.xlsm]Part 1 - Project Info'!#REF!</xm:f>
            <x14:dxf>
              <fill>
                <patternFill>
                  <bgColor theme="0" tint="-0.14996795556505021"/>
                </patternFill>
              </fill>
            </x14:dxf>
          </x14:cfRule>
          <xm:sqref>P46</xm:sqref>
        </x14:conditionalFormatting>
        <x14:conditionalFormatting xmlns:xm="http://schemas.microsoft.com/office/excel/2006/main">
          <x14:cfRule type="expression" priority="213" id="{4AE8A4EF-6785-45A9-B3D0-8C6913AA42FF}">
            <xm:f>AND(#REF!&lt;('\Users\ACF\Documents\APRs\[D56_APR Quantitative_FV.xlsm]Part 1 - Project Info'!#REF!-31),ISBLANK(#REF!))</xm:f>
            <x14:dxf>
              <fill>
                <patternFill>
                  <bgColor rgb="FFFFFF00"/>
                </patternFill>
              </fill>
            </x14:dxf>
          </x14:cfRule>
          <x14:cfRule type="expression" priority="214" id="{5A28EAAA-0B34-4168-91C4-7BD40B661FC0}">
            <xm:f>#REF!&gt;'\Users\ACF\Documents\APRs\[D56_APR Quantitative_FV.xlsm]Part 1 - Project Info'!#REF!</xm:f>
            <x14:dxf>
              <fill>
                <patternFill>
                  <bgColor theme="0" tint="-0.14996795556505021"/>
                </patternFill>
              </fill>
            </x14:dxf>
          </x14:cfRule>
          <xm:sqref>T46</xm:sqref>
        </x14:conditionalFormatting>
        <x14:conditionalFormatting xmlns:xm="http://schemas.microsoft.com/office/excel/2006/main">
          <x14:cfRule type="expression" priority="204" id="{AA4C619F-84A3-4A45-90BF-FE1E30DCFE61}">
            <xm:f>AND(#REF!&lt;('\Users\ACF\Documents\APRs\[D56_APR Quantitative_FV.xlsm]Part 1 - Project Info'!#REF!-31),ISBLANK(#REF!))</xm:f>
            <x14:dxf>
              <fill>
                <patternFill>
                  <bgColor rgb="FFFFFF00"/>
                </patternFill>
              </fill>
            </x14:dxf>
          </x14:cfRule>
          <x14:cfRule type="expression" priority="205" id="{CC649F9E-1350-49A1-803D-FEB8C57E4F23}">
            <xm:f>#REF!&gt;'\Users\ACF\Documents\APRs\[D56_APR Quantitative_FV.xlsm]Part 1 - Project Info'!#REF!</xm:f>
            <x14:dxf>
              <fill>
                <patternFill>
                  <bgColor theme="0" tint="-0.14996795556505021"/>
                </patternFill>
              </fill>
            </x14:dxf>
          </x14:cfRule>
          <xm:sqref>L38</xm:sqref>
        </x14:conditionalFormatting>
        <x14:conditionalFormatting xmlns:xm="http://schemas.microsoft.com/office/excel/2006/main">
          <x14:cfRule type="expression" priority="202" id="{38A13012-9226-45B7-8929-B17342D7148C}">
            <xm:f>AND(#REF!&lt;('\Users\ACF\Documents\APRs\[D56_APR Quantitative_FV.xlsm]Part 1 - Project Info'!#REF!-31),ISBLANK(#REF!))</xm:f>
            <x14:dxf>
              <fill>
                <patternFill>
                  <bgColor rgb="FFFFFF00"/>
                </patternFill>
              </fill>
            </x14:dxf>
          </x14:cfRule>
          <x14:cfRule type="expression" priority="203" id="{6BD65EE8-EF1B-4E49-BE84-A296FF375730}">
            <xm:f>#REF!&gt;'\Users\ACF\Documents\APRs\[D56_APR Quantitative_FV.xlsm]Part 1 - Project Info'!#REF!</xm:f>
            <x14:dxf>
              <fill>
                <patternFill>
                  <bgColor theme="0" tint="-0.14996795556505021"/>
                </patternFill>
              </fill>
            </x14:dxf>
          </x14:cfRule>
          <xm:sqref>P38</xm:sqref>
        </x14:conditionalFormatting>
        <x14:conditionalFormatting xmlns:xm="http://schemas.microsoft.com/office/excel/2006/main">
          <x14:cfRule type="expression" priority="200" id="{D7928E8C-322E-494D-A2B2-00858D84FAF3}">
            <xm:f>AND(#REF!&lt;('\Users\ACF\Documents\APRs\[D56_APR Quantitative_FV.xlsm]Part 1 - Project Info'!#REF!-31),ISBLANK(#REF!))</xm:f>
            <x14:dxf>
              <fill>
                <patternFill>
                  <bgColor rgb="FFFFFF00"/>
                </patternFill>
              </fill>
            </x14:dxf>
          </x14:cfRule>
          <x14:cfRule type="expression" priority="201" id="{2D9A780A-0119-4C82-BA6E-947702F926BA}">
            <xm:f>#REF!&gt;'\Users\ACF\Documents\APRs\[D56_APR Quantitative_FV.xlsm]Part 1 - Project Info'!#REF!</xm:f>
            <x14:dxf>
              <fill>
                <patternFill>
                  <bgColor theme="0" tint="-0.14996795556505021"/>
                </patternFill>
              </fill>
            </x14:dxf>
          </x14:cfRule>
          <xm:sqref>T38</xm:sqref>
        </x14:conditionalFormatting>
        <x14:conditionalFormatting xmlns:xm="http://schemas.microsoft.com/office/excel/2006/main">
          <x14:cfRule type="expression" priority="210" id="{ED3415F0-D41C-44B2-BB11-A0CF580C2960}">
            <xm:f>AND(#REF!&lt;('\Users\ACF\Documents\APRs\[D56_APR Quantitative_FV.xlsm]Part 1 - Project Info'!#REF!-31),ISBLANK(#REF!))</xm:f>
            <x14:dxf>
              <fill>
                <patternFill>
                  <bgColor rgb="FFFFFF00"/>
                </patternFill>
              </fill>
            </x14:dxf>
          </x14:cfRule>
          <x14:cfRule type="expression" priority="211" id="{F72B97CF-8360-40E8-89D4-94D285AFCEC6}">
            <xm:f>#REF!&gt;'\Users\ACF\Documents\APRs\[D56_APR Quantitative_FV.xlsm]Part 1 - Project Info'!#REF!</xm:f>
            <x14:dxf>
              <fill>
                <patternFill>
                  <bgColor theme="0" tint="-0.14996795556505021"/>
                </patternFill>
              </fill>
            </x14:dxf>
          </x14:cfRule>
          <xm:sqref>H38</xm:sqref>
        </x14:conditionalFormatting>
        <x14:conditionalFormatting xmlns:xm="http://schemas.microsoft.com/office/excel/2006/main">
          <x14:cfRule type="expression" priority="208" id="{F351A873-3CE0-42CE-B580-617307C48D4C}">
            <xm:f>AND(#REF!&lt;('\Users\ACF\Documents\APRs\[D56_APR Quantitative_FV.xlsm]Part 1 - Project Info'!#REF!-31),ISBLANK(#REF!))</xm:f>
            <x14:dxf>
              <fill>
                <patternFill>
                  <bgColor rgb="FFFFFF00"/>
                </patternFill>
              </fill>
            </x14:dxf>
          </x14:cfRule>
          <x14:cfRule type="expression" priority="209" id="{B48947DD-9BED-43B6-B3B2-00828C2EB8BA}">
            <xm:f>#REF!&gt;'\Users\ACF\Documents\APRs\[D56_APR Quantitative_FV.xlsm]Part 1 - Project Info'!#REF!</xm:f>
            <x14:dxf>
              <fill>
                <patternFill>
                  <bgColor theme="0" tint="-0.14996795556505021"/>
                </patternFill>
              </fill>
            </x14:dxf>
          </x14:cfRule>
          <xm:sqref>I38:K38</xm:sqref>
        </x14:conditionalFormatting>
        <x14:conditionalFormatting xmlns:xm="http://schemas.microsoft.com/office/excel/2006/main">
          <x14:cfRule type="expression" priority="187" id="{642A1527-D431-4CFA-9849-0C42535B13AE}">
            <xm:f>AND(#REF!&lt;('\Users\ACF\Documents\APRs\[D56_APR Quantitative_FV.xlsm]Part 1 - Project Info'!#REF!-31),ISBLANK(#REF!))</xm:f>
            <x14:dxf>
              <fill>
                <patternFill>
                  <bgColor rgb="FFFFFF00"/>
                </patternFill>
              </fill>
            </x14:dxf>
          </x14:cfRule>
          <x14:cfRule type="expression" priority="188" id="{EE42060D-B0D6-4DB9-8EDC-4108189BA6C6}">
            <xm:f>#REF!&gt;'\Users\ACF\Documents\APRs\[D56_APR Quantitative_FV.xlsm]Part 1 - Project Info'!#REF!</xm:f>
            <x14:dxf>
              <fill>
                <patternFill>
                  <bgColor theme="0" tint="-0.14996795556505021"/>
                </patternFill>
              </fill>
            </x14:dxf>
          </x14:cfRule>
          <xm:sqref>L27</xm:sqref>
        </x14:conditionalFormatting>
        <x14:conditionalFormatting xmlns:xm="http://schemas.microsoft.com/office/excel/2006/main">
          <x14:cfRule type="expression" priority="185" id="{03CF8C7B-A340-4C0C-BE32-DEDF4F422FCF}">
            <xm:f>AND(#REF!&lt;('\Users\ACF\Documents\APRs\[D56_APR Quantitative_FV.xlsm]Part 1 - Project Info'!#REF!-31),ISBLANK(#REF!))</xm:f>
            <x14:dxf>
              <fill>
                <patternFill>
                  <bgColor rgb="FFFFFF00"/>
                </patternFill>
              </fill>
            </x14:dxf>
          </x14:cfRule>
          <x14:cfRule type="expression" priority="186" id="{64F4C21D-D522-4292-9FE6-2B58ACB77575}">
            <xm:f>#REF!&gt;'\Users\ACF\Documents\APRs\[D56_APR Quantitative_FV.xlsm]Part 1 - Project Info'!#REF!</xm:f>
            <x14:dxf>
              <fill>
                <patternFill>
                  <bgColor theme="0" tint="-0.14996795556505021"/>
                </patternFill>
              </fill>
            </x14:dxf>
          </x14:cfRule>
          <xm:sqref>P27</xm:sqref>
        </x14:conditionalFormatting>
        <x14:conditionalFormatting xmlns:xm="http://schemas.microsoft.com/office/excel/2006/main">
          <x14:cfRule type="expression" priority="183" id="{DD32F32B-6B0A-4D9A-8041-DC93AE96CF1D}">
            <xm:f>AND(#REF!&lt;('\Users\ACF\Documents\APRs\[D56_APR Quantitative_FV.xlsm]Part 1 - Project Info'!#REF!-31),ISBLANK(#REF!))</xm:f>
            <x14:dxf>
              <fill>
                <patternFill>
                  <bgColor rgb="FFFFFF00"/>
                </patternFill>
              </fill>
            </x14:dxf>
          </x14:cfRule>
          <x14:cfRule type="expression" priority="184" id="{435FA849-B0FF-4B54-9506-9732AE9505A1}">
            <xm:f>#REF!&gt;'\Users\ACF\Documents\APRs\[D56_APR Quantitative_FV.xlsm]Part 1 - Project Info'!#REF!</xm:f>
            <x14:dxf>
              <fill>
                <patternFill>
                  <bgColor theme="0" tint="-0.14996795556505021"/>
                </patternFill>
              </fill>
            </x14:dxf>
          </x14:cfRule>
          <xm:sqref>T27</xm:sqref>
        </x14:conditionalFormatting>
        <x14:conditionalFormatting xmlns:xm="http://schemas.microsoft.com/office/excel/2006/main">
          <x14:cfRule type="expression" priority="197" id="{F5B349AC-845C-4C20-BB63-5B97B5C76102}">
            <xm:f>AND(#REF!&lt;('\Users\ACF\Documents\APRs\[D56_APR Quantitative_FV.xlsm]Part 1 - Project Info'!#REF!-31),ISBLANK(#REF!))</xm:f>
            <x14:dxf>
              <fill>
                <patternFill>
                  <bgColor rgb="FFFFFF00"/>
                </patternFill>
              </fill>
            </x14:dxf>
          </x14:cfRule>
          <x14:cfRule type="expression" priority="198" id="{2AC30697-B0CD-4592-96D1-A5987A03DBD6}">
            <xm:f>#REF!&gt;'\Users\ACF\Documents\APRs\[D56_APR Quantitative_FV.xlsm]Part 1 - Project Info'!#REF!</xm:f>
            <x14:dxf>
              <fill>
                <patternFill>
                  <bgColor theme="0" tint="-0.14996795556505021"/>
                </patternFill>
              </fill>
            </x14:dxf>
          </x14:cfRule>
          <xm:sqref>H27</xm:sqref>
        </x14:conditionalFormatting>
        <x14:conditionalFormatting xmlns:xm="http://schemas.microsoft.com/office/excel/2006/main">
          <x14:cfRule type="expression" priority="195" id="{1300BDBE-FDFF-4DB4-ADAC-DCB6A5DEC727}">
            <xm:f>AND(#REF!&lt;('\Users\ACF\Documents\APRs\[D56_APR Quantitative_FV.xlsm]Part 1 - Project Info'!#REF!-31),ISBLANK(#REF!))</xm:f>
            <x14:dxf>
              <fill>
                <patternFill>
                  <bgColor rgb="FFFFFF00"/>
                </patternFill>
              </fill>
            </x14:dxf>
          </x14:cfRule>
          <x14:cfRule type="expression" priority="196" id="{D1BB4783-671A-4852-AED4-58C2EE69242F}">
            <xm:f>#REF!&gt;'\Users\ACF\Documents\APRs\[D56_APR Quantitative_FV.xlsm]Part 1 - Project Info'!#REF!</xm:f>
            <x14:dxf>
              <fill>
                <patternFill>
                  <bgColor theme="0" tint="-0.14996795556505021"/>
                </patternFill>
              </fill>
            </x14:dxf>
          </x14:cfRule>
          <xm:sqref>I27:K27</xm:sqref>
        </x14:conditionalFormatting>
        <x14:conditionalFormatting xmlns:xm="http://schemas.microsoft.com/office/excel/2006/main">
          <x14:cfRule type="expression" priority="193" id="{BF5124D0-DB95-490D-8DA6-FE65CA36DF30}">
            <xm:f>AND(#REF!&lt;('\Users\ACF\Documents\APRs\[D56_APR Quantitative_FV.xlsm]Part 1 - Project Info'!#REF!-31),ISBLANK(#REF!))</xm:f>
            <x14:dxf>
              <fill>
                <patternFill>
                  <bgColor rgb="FFFFFF00"/>
                </patternFill>
              </fill>
            </x14:dxf>
          </x14:cfRule>
          <x14:cfRule type="expression" priority="194" id="{C2960587-5E3B-49C0-B66C-1AF505158209}">
            <xm:f>#REF!&gt;'\Users\ACF\Documents\APRs\[D56_APR Quantitative_FV.xlsm]Part 1 - Project Info'!#REF!</xm:f>
            <x14:dxf>
              <fill>
                <patternFill>
                  <bgColor theme="0" tint="-0.14996795556505021"/>
                </patternFill>
              </fill>
            </x14:dxf>
          </x14:cfRule>
          <xm:sqref>M27:O27</xm:sqref>
        </x14:conditionalFormatting>
        <x14:conditionalFormatting xmlns:xm="http://schemas.microsoft.com/office/excel/2006/main">
          <x14:cfRule type="expression" priority="191" id="{D6BF5122-AA26-482B-9C99-609746616344}">
            <xm:f>AND(#REF!&lt;('\Users\ACF\Documents\APRs\[D56_APR Quantitative_FV.xlsm]Part 1 - Project Info'!#REF!-31),ISBLANK(#REF!))</xm:f>
            <x14:dxf>
              <fill>
                <patternFill>
                  <bgColor rgb="FFFFFF00"/>
                </patternFill>
              </fill>
            </x14:dxf>
          </x14:cfRule>
          <x14:cfRule type="expression" priority="192" id="{1A9E2D13-282E-4018-9E65-FDB9178588E2}">
            <xm:f>#REF!&gt;'\Users\ACF\Documents\APRs\[D56_APR Quantitative_FV.xlsm]Part 1 - Project Info'!#REF!</xm:f>
            <x14:dxf>
              <fill>
                <patternFill>
                  <bgColor theme="0" tint="-0.14996795556505021"/>
                </patternFill>
              </fill>
            </x14:dxf>
          </x14:cfRule>
          <xm:sqref>Q27:S27</xm:sqref>
        </x14:conditionalFormatting>
        <x14:conditionalFormatting xmlns:xm="http://schemas.microsoft.com/office/excel/2006/main">
          <x14:cfRule type="expression" priority="189" id="{2F14F3A7-A2E2-415B-91D1-6F67DA03B8DC}">
            <xm:f>AND(#REF!&lt;('\Users\ACF\Documents\APRs\[D56_APR Quantitative_FV.xlsm]Part 1 - Project Info'!#REF!-31),ISBLANK(#REF!))</xm:f>
            <x14:dxf>
              <fill>
                <patternFill>
                  <bgColor rgb="FFFFFF00"/>
                </patternFill>
              </fill>
            </x14:dxf>
          </x14:cfRule>
          <x14:cfRule type="expression" priority="190" id="{91184FAC-2832-44E5-A849-FCC052E999BB}">
            <xm:f>#REF!&gt;'\Users\ACF\Documents\APRs\[D56_APR Quantitative_FV.xlsm]Part 1 - Project Info'!#REF!</xm:f>
            <x14:dxf>
              <fill>
                <patternFill>
                  <bgColor theme="0" tint="-0.14996795556505021"/>
                </patternFill>
              </fill>
            </x14:dxf>
          </x14:cfRule>
          <xm:sqref>U27:W27</xm:sqref>
        </x14:conditionalFormatting>
        <x14:conditionalFormatting xmlns:xm="http://schemas.microsoft.com/office/excel/2006/main">
          <x14:cfRule type="expression" priority="178" id="{7F717329-74E2-47CD-BA10-2CAB492F1A48}">
            <xm:f>AND(#REF!&lt;('\Users\ACF\Documents\APRs\[D56_APR Quantitative_FV.xlsm]Part 1 - Project Info'!#REF!-31),ISBLANK(#REF!))</xm:f>
            <x14:dxf>
              <fill>
                <patternFill>
                  <bgColor rgb="FFFFFF00"/>
                </patternFill>
              </fill>
            </x14:dxf>
          </x14:cfRule>
          <x14:cfRule type="expression" priority="179" id="{4A49490A-9F9F-4791-97D9-DBEF2326BA59}">
            <xm:f>#REF!&gt;'\Users\ACF\Documents\APRs\[D56_APR Quantitative_FV.xlsm]Part 1 - Project Info'!#REF!</xm:f>
            <x14:dxf>
              <fill>
                <patternFill>
                  <bgColor theme="0" tint="-0.14996795556505021"/>
                </patternFill>
              </fill>
            </x14:dxf>
          </x14:cfRule>
          <xm:sqref>M38:O38</xm:sqref>
        </x14:conditionalFormatting>
        <x14:conditionalFormatting xmlns:xm="http://schemas.microsoft.com/office/excel/2006/main">
          <x14:cfRule type="expression" priority="176" id="{2665A9A1-0445-44BC-9058-85663E9B9CBB}">
            <xm:f>AND(#REF!&lt;('\Users\ACF\Documents\APRs\[D56_APR Quantitative_FV.xlsm]Part 1 - Project Info'!#REF!-31),ISBLANK(#REF!))</xm:f>
            <x14:dxf>
              <fill>
                <patternFill>
                  <bgColor rgb="FFFFFF00"/>
                </patternFill>
              </fill>
            </x14:dxf>
          </x14:cfRule>
          <x14:cfRule type="expression" priority="177" id="{4CC633EB-436A-4B76-9817-94AB361E2410}">
            <xm:f>#REF!&gt;'\Users\ACF\Documents\APRs\[D56_APR Quantitative_FV.xlsm]Part 1 - Project Info'!#REF!</xm:f>
            <x14:dxf>
              <fill>
                <patternFill>
                  <bgColor theme="0" tint="-0.14996795556505021"/>
                </patternFill>
              </fill>
            </x14:dxf>
          </x14:cfRule>
          <xm:sqref>Q38:S38</xm:sqref>
        </x14:conditionalFormatting>
        <x14:conditionalFormatting xmlns:xm="http://schemas.microsoft.com/office/excel/2006/main">
          <x14:cfRule type="expression" priority="174" id="{1C7CE85E-CC50-4B13-8F22-B3660720D6C5}">
            <xm:f>AND(#REF!&lt;('\Users\ACF\Documents\APRs\[D56_APR Quantitative_FV.xlsm]Part 1 - Project Info'!#REF!-31),ISBLANK(#REF!))</xm:f>
            <x14:dxf>
              <fill>
                <patternFill>
                  <bgColor rgb="FFFFFF00"/>
                </patternFill>
              </fill>
            </x14:dxf>
          </x14:cfRule>
          <x14:cfRule type="expression" priority="175" id="{4F4EA50A-7C95-4820-B1EA-6D564FA0DC4F}">
            <xm:f>#REF!&gt;'\Users\ACF\Documents\APRs\[D56_APR Quantitative_FV.xlsm]Part 1 - Project Info'!#REF!</xm:f>
            <x14:dxf>
              <fill>
                <patternFill>
                  <bgColor theme="0" tint="-0.14996795556505021"/>
                </patternFill>
              </fill>
            </x14:dxf>
          </x14:cfRule>
          <xm:sqref>U38:W38</xm:sqref>
        </x14:conditionalFormatting>
        <x14:conditionalFormatting xmlns:xm="http://schemas.microsoft.com/office/excel/2006/main">
          <x14:cfRule type="expression" priority="146" id="{0321B0EE-F612-4E39-B88B-DA8B1BFE92E1}">
            <xm:f>AND(#REF!&lt;('\Users\ACF\Documents\APRs\[D56_APR Quantitative_FV.xlsm]Part 1 - Project Info'!#REF!-31),ISBLANK(#REF!))</xm:f>
            <x14:dxf>
              <fill>
                <patternFill>
                  <bgColor rgb="FFFFFF00"/>
                </patternFill>
              </fill>
            </x14:dxf>
          </x14:cfRule>
          <x14:cfRule type="expression" priority="147" id="{EE44B35F-146A-41CD-9F77-516418E69B5A}">
            <xm:f>#REF!&gt;'\Users\ACF\Documents\APRs\[D56_APR Quantitative_FV.xlsm]Part 1 - Project Info'!#REF!</xm:f>
            <x14:dxf>
              <fill>
                <patternFill>
                  <bgColor theme="0" tint="-0.14996795556505021"/>
                </patternFill>
              </fill>
            </x14:dxf>
          </x14:cfRule>
          <xm:sqref>L19</xm:sqref>
        </x14:conditionalFormatting>
        <x14:conditionalFormatting xmlns:xm="http://schemas.microsoft.com/office/excel/2006/main">
          <x14:cfRule type="expression" priority="144" id="{E4EDC829-10CD-4BD2-8BDF-8B7196F938F3}">
            <xm:f>AND(#REF!&lt;('\Users\ACF\Documents\APRs\[D56_APR Quantitative_FV.xlsm]Part 1 - Project Info'!#REF!-31),ISBLANK(#REF!))</xm:f>
            <x14:dxf>
              <fill>
                <patternFill>
                  <bgColor rgb="FFFFFF00"/>
                </patternFill>
              </fill>
            </x14:dxf>
          </x14:cfRule>
          <x14:cfRule type="expression" priority="145" id="{320511AA-72FF-45F1-AD34-DD5D234FDFC7}">
            <xm:f>#REF!&gt;'\Users\ACF\Documents\APRs\[D56_APR Quantitative_FV.xlsm]Part 1 - Project Info'!#REF!</xm:f>
            <x14:dxf>
              <fill>
                <patternFill>
                  <bgColor theme="0" tint="-0.14996795556505021"/>
                </patternFill>
              </fill>
            </x14:dxf>
          </x14:cfRule>
          <xm:sqref>P19</xm:sqref>
        </x14:conditionalFormatting>
        <x14:conditionalFormatting xmlns:xm="http://schemas.microsoft.com/office/excel/2006/main">
          <x14:cfRule type="expression" priority="142" id="{0D7221F6-E1C9-4006-8547-17EB1764DBE5}">
            <xm:f>AND(#REF!&lt;('\Users\ACF\Documents\APRs\[D56_APR Quantitative_FV.xlsm]Part 1 - Project Info'!#REF!-31),ISBLANK(#REF!))</xm:f>
            <x14:dxf>
              <fill>
                <patternFill>
                  <bgColor rgb="FFFFFF00"/>
                </patternFill>
              </fill>
            </x14:dxf>
          </x14:cfRule>
          <x14:cfRule type="expression" priority="143" id="{1C9A4BC4-00A5-41D4-B11A-B4DA39C94FE2}">
            <xm:f>#REF!&gt;'\Users\ACF\Documents\APRs\[D56_APR Quantitative_FV.xlsm]Part 1 - Project Info'!#REF!</xm:f>
            <x14:dxf>
              <fill>
                <patternFill>
                  <bgColor theme="0" tint="-0.14996795556505021"/>
                </patternFill>
              </fill>
            </x14:dxf>
          </x14:cfRule>
          <xm:sqref>T19</xm:sqref>
        </x14:conditionalFormatting>
        <x14:conditionalFormatting xmlns:xm="http://schemas.microsoft.com/office/excel/2006/main">
          <x14:cfRule type="expression" priority="156" id="{81810FE2-4A94-4FD8-AE7E-7EF20D8D9280}">
            <xm:f>AND(#REF!&lt;('\Users\ACF\Documents\APRs\[D56_APR Quantitative_FV.xlsm]Part 1 - Project Info'!#REF!-31),ISBLANK(#REF!))</xm:f>
            <x14:dxf>
              <fill>
                <patternFill>
                  <bgColor rgb="FFFFFF00"/>
                </patternFill>
              </fill>
            </x14:dxf>
          </x14:cfRule>
          <x14:cfRule type="expression" priority="157" id="{2827262B-F342-4DD1-8E52-E3B0D3F457B8}">
            <xm:f>#REF!&gt;'\Users\ACF\Documents\APRs\[D56_APR Quantitative_FV.xlsm]Part 1 - Project Info'!#REF!</xm:f>
            <x14:dxf>
              <fill>
                <patternFill>
                  <bgColor theme="0" tint="-0.14996795556505021"/>
                </patternFill>
              </fill>
            </x14:dxf>
          </x14:cfRule>
          <xm:sqref>H19</xm:sqref>
        </x14:conditionalFormatting>
        <x14:conditionalFormatting xmlns:xm="http://schemas.microsoft.com/office/excel/2006/main">
          <x14:cfRule type="expression" priority="154" id="{546AE917-5B4D-44D9-AD50-8455D2AC7001}">
            <xm:f>AND(#REF!&lt;('\Users\ACF\Documents\APRs\[D56_APR Quantitative_FV.xlsm]Part 1 - Project Info'!#REF!-31),ISBLANK(#REF!))</xm:f>
            <x14:dxf>
              <fill>
                <patternFill>
                  <bgColor rgb="FFFFFF00"/>
                </patternFill>
              </fill>
            </x14:dxf>
          </x14:cfRule>
          <x14:cfRule type="expression" priority="155" id="{9B7C23C4-F22C-4053-ACFD-06FAF3D5434A}">
            <xm:f>#REF!&gt;'\Users\ACF\Documents\APRs\[D56_APR Quantitative_FV.xlsm]Part 1 - Project Info'!#REF!</xm:f>
            <x14:dxf>
              <fill>
                <patternFill>
                  <bgColor theme="0" tint="-0.14996795556505021"/>
                </patternFill>
              </fill>
            </x14:dxf>
          </x14:cfRule>
          <xm:sqref>I19:K19</xm:sqref>
        </x14:conditionalFormatting>
        <x14:conditionalFormatting xmlns:xm="http://schemas.microsoft.com/office/excel/2006/main">
          <x14:cfRule type="expression" priority="152" id="{72C5274E-C8B4-4F42-8E12-95545CAB406C}">
            <xm:f>AND(#REF!&lt;('\Users\ACF\Documents\APRs\[D56_APR Quantitative_FV.xlsm]Part 1 - Project Info'!#REF!-31),ISBLANK(#REF!))</xm:f>
            <x14:dxf>
              <fill>
                <patternFill>
                  <bgColor rgb="FFFFFF00"/>
                </patternFill>
              </fill>
            </x14:dxf>
          </x14:cfRule>
          <x14:cfRule type="expression" priority="153" id="{660866C8-7311-45E4-A45D-2E1A6FD41356}">
            <xm:f>#REF!&gt;'\Users\ACF\Documents\APRs\[D56_APR Quantitative_FV.xlsm]Part 1 - Project Info'!#REF!</xm:f>
            <x14:dxf>
              <fill>
                <patternFill>
                  <bgColor theme="0" tint="-0.14996795556505021"/>
                </patternFill>
              </fill>
            </x14:dxf>
          </x14:cfRule>
          <xm:sqref>M19:O19</xm:sqref>
        </x14:conditionalFormatting>
        <x14:conditionalFormatting xmlns:xm="http://schemas.microsoft.com/office/excel/2006/main">
          <x14:cfRule type="expression" priority="150" id="{F2CE00DB-0492-4DA4-A01A-F23D594A9187}">
            <xm:f>AND(#REF!&lt;('\Users\ACF\Documents\APRs\[D56_APR Quantitative_FV.xlsm]Part 1 - Project Info'!#REF!-31),ISBLANK(#REF!))</xm:f>
            <x14:dxf>
              <fill>
                <patternFill>
                  <bgColor rgb="FFFFFF00"/>
                </patternFill>
              </fill>
            </x14:dxf>
          </x14:cfRule>
          <x14:cfRule type="expression" priority="151" id="{88D8B599-99B9-405C-89F4-85745A192187}">
            <xm:f>#REF!&gt;'\Users\ACF\Documents\APRs\[D56_APR Quantitative_FV.xlsm]Part 1 - Project Info'!#REF!</xm:f>
            <x14:dxf>
              <fill>
                <patternFill>
                  <bgColor theme="0" tint="-0.14996795556505021"/>
                </patternFill>
              </fill>
            </x14:dxf>
          </x14:cfRule>
          <xm:sqref>Q19:S19</xm:sqref>
        </x14:conditionalFormatting>
        <x14:conditionalFormatting xmlns:xm="http://schemas.microsoft.com/office/excel/2006/main">
          <x14:cfRule type="expression" priority="148" id="{360D7A44-F381-408D-A26D-E2B6A187BC3C}">
            <xm:f>AND(#REF!&lt;('\Users\ACF\Documents\APRs\[D56_APR Quantitative_FV.xlsm]Part 1 - Project Info'!#REF!-31),ISBLANK(#REF!))</xm:f>
            <x14:dxf>
              <fill>
                <patternFill>
                  <bgColor rgb="FFFFFF00"/>
                </patternFill>
              </fill>
            </x14:dxf>
          </x14:cfRule>
          <x14:cfRule type="expression" priority="149" id="{17146941-35AF-4113-B19F-EE6D4CB3B6D9}">
            <xm:f>#REF!&gt;'\Users\ACF\Documents\APRs\[D56_APR Quantitative_FV.xlsm]Part 1 - Project Info'!#REF!</xm:f>
            <x14:dxf>
              <fill>
                <patternFill>
                  <bgColor theme="0" tint="-0.14996795556505021"/>
                </patternFill>
              </fill>
            </x14:dxf>
          </x14:cfRule>
          <xm:sqref>U19:W19</xm:sqref>
        </x14:conditionalFormatting>
        <x14:conditionalFormatting xmlns:xm="http://schemas.microsoft.com/office/excel/2006/main">
          <x14:cfRule type="expression" priority="122" id="{5B3E4B83-6DCD-4011-A3E5-CD32AC28C772}">
            <xm:f>AND(#REF!&lt;('\Users\ACF\Documents\APRs\[D56_APR Quantitative_FV.xlsm]Part 1 - Project Info'!#REF!-31),ISBLANK(#REF!))</xm:f>
            <x14:dxf>
              <fill>
                <patternFill>
                  <bgColor rgb="FFFFFF00"/>
                </patternFill>
              </fill>
            </x14:dxf>
          </x14:cfRule>
          <x14:cfRule type="expression" priority="123" id="{09E8E90E-8603-4DE5-ABE5-B9D7D151F4F6}">
            <xm:f>#REF!&gt;'\Users\ACF\Documents\APRs\[D56_APR Quantitative_FV.xlsm]Part 1 - Project Info'!#REF!</xm:f>
            <x14:dxf>
              <fill>
                <patternFill>
                  <bgColor theme="0" tint="-0.14996795556505021"/>
                </patternFill>
              </fill>
            </x14:dxf>
          </x14:cfRule>
          <xm:sqref>L41</xm:sqref>
        </x14:conditionalFormatting>
        <x14:conditionalFormatting xmlns:xm="http://schemas.microsoft.com/office/excel/2006/main">
          <x14:cfRule type="expression" priority="120" id="{6EFE5CCF-9A00-4728-AE1F-865A92AE9004}">
            <xm:f>AND(#REF!&lt;('\Users\ACF\Documents\APRs\[D56_APR Quantitative_FV.xlsm]Part 1 - Project Info'!#REF!-31),ISBLANK(#REF!))</xm:f>
            <x14:dxf>
              <fill>
                <patternFill>
                  <bgColor rgb="FFFFFF00"/>
                </patternFill>
              </fill>
            </x14:dxf>
          </x14:cfRule>
          <x14:cfRule type="expression" priority="121" id="{4632C15F-4A59-47A3-B08D-90C6BFF67F9A}">
            <xm:f>#REF!&gt;'\Users\ACF\Documents\APRs\[D56_APR Quantitative_FV.xlsm]Part 1 - Project Info'!#REF!</xm:f>
            <x14:dxf>
              <fill>
                <patternFill>
                  <bgColor theme="0" tint="-0.14996795556505021"/>
                </patternFill>
              </fill>
            </x14:dxf>
          </x14:cfRule>
          <xm:sqref>P41</xm:sqref>
        </x14:conditionalFormatting>
        <x14:conditionalFormatting xmlns:xm="http://schemas.microsoft.com/office/excel/2006/main">
          <x14:cfRule type="expression" priority="118" id="{6E4BDB1F-9719-4045-A7C7-22DF50BFBC79}">
            <xm:f>AND(#REF!&lt;('\Users\ACF\Documents\APRs\[D56_APR Quantitative_FV.xlsm]Part 1 - Project Info'!#REF!-31),ISBLANK(#REF!))</xm:f>
            <x14:dxf>
              <fill>
                <patternFill>
                  <bgColor rgb="FFFFFF00"/>
                </patternFill>
              </fill>
            </x14:dxf>
          </x14:cfRule>
          <x14:cfRule type="expression" priority="119" id="{E3015DC7-8C38-4E7C-B37C-2ECF743D9ADF}">
            <xm:f>#REF!&gt;'\Users\ACF\Documents\APRs\[D56_APR Quantitative_FV.xlsm]Part 1 - Project Info'!#REF!</xm:f>
            <x14:dxf>
              <fill>
                <patternFill>
                  <bgColor theme="0" tint="-0.14996795556505021"/>
                </patternFill>
              </fill>
            </x14:dxf>
          </x14:cfRule>
          <xm:sqref>T41</xm:sqref>
        </x14:conditionalFormatting>
        <x14:conditionalFormatting xmlns:xm="http://schemas.microsoft.com/office/excel/2006/main">
          <x14:cfRule type="expression" priority="126" id="{86EC09C4-2E82-4169-B0D2-159B395161B3}">
            <xm:f>AND(#REF!&lt;('\Users\ACF\Documents\APRs\[D56_APR Quantitative_FV.xlsm]Part 1 - Project Info'!#REF!-31),ISBLANK(#REF!))</xm:f>
            <x14:dxf>
              <fill>
                <patternFill>
                  <bgColor rgb="FFFFFF00"/>
                </patternFill>
              </fill>
            </x14:dxf>
          </x14:cfRule>
          <x14:cfRule type="expression" priority="127" id="{47078416-87AA-4DAC-90CB-724D563018FC}">
            <xm:f>#REF!&gt;'\Users\ACF\Documents\APRs\[D56_APR Quantitative_FV.xlsm]Part 1 - Project Info'!#REF!</xm:f>
            <x14:dxf>
              <fill>
                <patternFill>
                  <bgColor theme="0" tint="-0.14996795556505021"/>
                </patternFill>
              </fill>
            </x14:dxf>
          </x14:cfRule>
          <xm:sqref>H41</xm:sqref>
        </x14:conditionalFormatting>
        <x14:conditionalFormatting xmlns:xm="http://schemas.microsoft.com/office/excel/2006/main">
          <x14:cfRule type="expression" priority="124" id="{1B89D404-9A45-447F-ADFB-BD18881C8769}">
            <xm:f>AND(#REF!&lt;('\Users\ACF\Documents\APRs\[D56_APR Quantitative_FV.xlsm]Part 1 - Project Info'!#REF!-31),ISBLANK(#REF!))</xm:f>
            <x14:dxf>
              <fill>
                <patternFill>
                  <bgColor rgb="FFFFFF00"/>
                </patternFill>
              </fill>
            </x14:dxf>
          </x14:cfRule>
          <x14:cfRule type="expression" priority="125" id="{EAA01F0E-B172-498E-AD3B-3F5FB7352270}">
            <xm:f>#REF!&gt;'\Users\ACF\Documents\APRs\[D56_APR Quantitative_FV.xlsm]Part 1 - Project Info'!#REF!</xm:f>
            <x14:dxf>
              <fill>
                <patternFill>
                  <bgColor theme="0" tint="-0.14996795556505021"/>
                </patternFill>
              </fill>
            </x14:dxf>
          </x14:cfRule>
          <xm:sqref>I41:K41</xm:sqref>
        </x14:conditionalFormatting>
        <x14:conditionalFormatting xmlns:xm="http://schemas.microsoft.com/office/excel/2006/main">
          <x14:cfRule type="expression" priority="116" id="{11D6C375-337A-452B-99AA-348E978DCA32}">
            <xm:f>AND(#REF!&lt;('\Users\ACF\Documents\APRs\[D56_APR Quantitative_FV.xlsm]Part 1 - Project Info'!#REF!-31),ISBLANK(#REF!))</xm:f>
            <x14:dxf>
              <fill>
                <patternFill>
                  <bgColor rgb="FFFFFF00"/>
                </patternFill>
              </fill>
            </x14:dxf>
          </x14:cfRule>
          <x14:cfRule type="expression" priority="117" id="{ACAFEB98-79F9-4161-975C-731E5C9DC800}">
            <xm:f>#REF!&gt;'\Users\ACF\Documents\APRs\[D56_APR Quantitative_FV.xlsm]Part 1 - Project Info'!#REF!</xm:f>
            <x14:dxf>
              <fill>
                <patternFill>
                  <bgColor theme="0" tint="-0.14996795556505021"/>
                </patternFill>
              </fill>
            </x14:dxf>
          </x14:cfRule>
          <xm:sqref>M41:O41</xm:sqref>
        </x14:conditionalFormatting>
        <x14:conditionalFormatting xmlns:xm="http://schemas.microsoft.com/office/excel/2006/main">
          <x14:cfRule type="expression" priority="114" id="{BC155559-C3B3-4816-B47E-2FA0980E437D}">
            <xm:f>AND(#REF!&lt;('\Users\ACF\Documents\APRs\[D56_APR Quantitative_FV.xlsm]Part 1 - Project Info'!#REF!-31),ISBLANK(#REF!))</xm:f>
            <x14:dxf>
              <fill>
                <patternFill>
                  <bgColor rgb="FFFFFF00"/>
                </patternFill>
              </fill>
            </x14:dxf>
          </x14:cfRule>
          <x14:cfRule type="expression" priority="115" id="{8CF047B6-68E5-4CA4-A485-3ED36301FE2D}">
            <xm:f>#REF!&gt;'\Users\ACF\Documents\APRs\[D56_APR Quantitative_FV.xlsm]Part 1 - Project Info'!#REF!</xm:f>
            <x14:dxf>
              <fill>
                <patternFill>
                  <bgColor theme="0" tint="-0.14996795556505021"/>
                </patternFill>
              </fill>
            </x14:dxf>
          </x14:cfRule>
          <xm:sqref>Q41:S41</xm:sqref>
        </x14:conditionalFormatting>
        <x14:conditionalFormatting xmlns:xm="http://schemas.microsoft.com/office/excel/2006/main">
          <x14:cfRule type="expression" priority="112" id="{E2E57317-C52A-4A82-81AB-14926F04C96C}">
            <xm:f>AND(#REF!&lt;('\Users\ACF\Documents\APRs\[D56_APR Quantitative_FV.xlsm]Part 1 - Project Info'!#REF!-31),ISBLANK(#REF!))</xm:f>
            <x14:dxf>
              <fill>
                <patternFill>
                  <bgColor rgb="FFFFFF00"/>
                </patternFill>
              </fill>
            </x14:dxf>
          </x14:cfRule>
          <x14:cfRule type="expression" priority="113" id="{D8176C67-D5D3-4DF6-815B-5BA7CBBCA651}">
            <xm:f>#REF!&gt;'\Users\ACF\Documents\APRs\[D56_APR Quantitative_FV.xlsm]Part 1 - Project Info'!#REF!</xm:f>
            <x14:dxf>
              <fill>
                <patternFill>
                  <bgColor theme="0" tint="-0.14996795556505021"/>
                </patternFill>
              </fill>
            </x14:dxf>
          </x14:cfRule>
          <xm:sqref>U41:W41</xm:sqref>
        </x14:conditionalFormatting>
        <x14:conditionalFormatting xmlns:xm="http://schemas.microsoft.com/office/excel/2006/main">
          <x14:cfRule type="expression" priority="63" id="{F7DE75D6-F50E-45D1-A467-1CCE83706F9D}">
            <xm:f>AND(#REF!&lt;('\Users\ACF\Documents\APRs\[D56_APR Quantitative_FV.xlsm]Part 1 - Project Info'!#REF!-31),ISBLANK(#REF!))</xm:f>
            <x14:dxf>
              <fill>
                <patternFill>
                  <bgColor rgb="FFFFFF00"/>
                </patternFill>
              </fill>
            </x14:dxf>
          </x14:cfRule>
          <x14:cfRule type="expression" priority="64" id="{09BC66AA-347E-4A83-B7E9-C7A0D7A35FCB}">
            <xm:f>#REF!&gt;'\Users\ACF\Documents\APRs\[D56_APR Quantitative_FV.xlsm]Part 1 - Project Info'!#REF!</xm:f>
            <x14:dxf>
              <fill>
                <patternFill>
                  <bgColor theme="0" tint="-0.14996795556505021"/>
                </patternFill>
              </fill>
            </x14:dxf>
          </x14:cfRule>
          <xm:sqref>I127:K127 U127:W127 Q127:S127 M127:O127</xm:sqref>
        </x14:conditionalFormatting>
        <x14:conditionalFormatting xmlns:xm="http://schemas.microsoft.com/office/excel/2006/main">
          <x14:cfRule type="expression" priority="45" id="{7A38440D-9EAE-4519-8220-5175B14BE1A9}">
            <xm:f>AND(#REF!&lt;('\Users\ACF\Documents\APRs\[D56_APR Quantitative_FV.xlsm]Part 1 - Project Info'!#REF!-31),ISBLANK(#REF!))</xm:f>
            <x14:dxf>
              <fill>
                <patternFill>
                  <bgColor rgb="FFFFFF00"/>
                </patternFill>
              </fill>
            </x14:dxf>
          </x14:cfRule>
          <x14:cfRule type="expression" priority="46" id="{96631B13-FF9B-452B-A531-2B5E306E6E1A}">
            <xm:f>#REF!&gt;'\Users\ACF\Documents\APRs\[D56_APR Quantitative_FV.xlsm]Part 1 - Project Info'!#REF!</xm:f>
            <x14:dxf>
              <fill>
                <patternFill>
                  <bgColor theme="0" tint="-0.14996795556505021"/>
                </patternFill>
              </fill>
            </x14:dxf>
          </x14:cfRule>
          <xm:sqref>T127:T129</xm:sqref>
        </x14:conditionalFormatting>
        <x14:conditionalFormatting xmlns:xm="http://schemas.microsoft.com/office/excel/2006/main">
          <x14:cfRule type="expression" priority="43" id="{B52145A5-C2AD-483C-A9D6-FB1534042745}">
            <xm:f>AND(#REF!&lt;('\Users\ACF\Documents\APRs\[D56_APR Quantitative_FV.xlsm]Part 1 - Project Info'!#REF!-31),ISBLANK(#REF!))</xm:f>
            <x14:dxf>
              <fill>
                <patternFill>
                  <bgColor rgb="FFFFFF00"/>
                </patternFill>
              </fill>
            </x14:dxf>
          </x14:cfRule>
          <x14:cfRule type="expression" priority="44" id="{87C819BD-02A9-4559-87C8-76D21839AA5C}">
            <xm:f>#REF!&gt;'\Users\ACF\Documents\APRs\[D56_APR Quantitative_FV.xlsm]Part 1 - Project Info'!#REF!</xm:f>
            <x14:dxf>
              <fill>
                <patternFill>
                  <bgColor theme="0" tint="-0.14996795556505021"/>
                </patternFill>
              </fill>
            </x14:dxf>
          </x14:cfRule>
          <xm:sqref>P127:P129</xm:sqref>
        </x14:conditionalFormatting>
        <x14:conditionalFormatting xmlns:xm="http://schemas.microsoft.com/office/excel/2006/main">
          <x14:cfRule type="expression" priority="41" id="{5E6A44EC-9035-4FAA-BD86-71204494DE34}">
            <xm:f>AND(#REF!&lt;('\Users\ACF\Documents\APRs\[D56_APR Quantitative_FV.xlsm]Part 1 - Project Info'!#REF!-31),ISBLANK(#REF!))</xm:f>
            <x14:dxf>
              <fill>
                <patternFill>
                  <bgColor rgb="FFFFFF00"/>
                </patternFill>
              </fill>
            </x14:dxf>
          </x14:cfRule>
          <x14:cfRule type="expression" priority="42" id="{148CDD25-AAA6-443E-AC55-585B7F523E86}">
            <xm:f>#REF!&gt;'\Users\ACF\Documents\APRs\[D56_APR Quantitative_FV.xlsm]Part 1 - Project Info'!#REF!</xm:f>
            <x14:dxf>
              <fill>
                <patternFill>
                  <bgColor theme="0" tint="-0.14996795556505021"/>
                </patternFill>
              </fill>
            </x14:dxf>
          </x14:cfRule>
          <xm:sqref>L127:L129</xm:sqref>
        </x14:conditionalFormatting>
        <x14:conditionalFormatting xmlns:xm="http://schemas.microsoft.com/office/excel/2006/main">
          <x14:cfRule type="expression" priority="39" id="{D2378E13-9CEE-4543-B2F8-EF00F986D702}">
            <xm:f>AND(#REF!&lt;('\Users\ACF\Documents\APRs\[D56_APR Quantitative_FV.xlsm]Part 1 - Project Info'!#REF!-31),ISBLANK(#REF!))</xm:f>
            <x14:dxf>
              <fill>
                <patternFill>
                  <bgColor rgb="FFFFFF00"/>
                </patternFill>
              </fill>
            </x14:dxf>
          </x14:cfRule>
          <x14:cfRule type="expression" priority="40" id="{F465234F-E5F6-4F42-8CA6-AD8D80FA395C}">
            <xm:f>#REF!&gt;'\Users\ACF\Documents\APRs\[D56_APR Quantitative_FV.xlsm]Part 1 - Project Info'!#REF!</xm:f>
            <x14:dxf>
              <fill>
                <patternFill>
                  <bgColor theme="0" tint="-0.14996795556505021"/>
                </patternFill>
              </fill>
            </x14:dxf>
          </x14:cfRule>
          <xm:sqref>H127:H129</xm:sqref>
        </x14:conditionalFormatting>
        <x14:conditionalFormatting xmlns:xm="http://schemas.microsoft.com/office/excel/2006/main">
          <x14:cfRule type="expression" priority="37" id="{3FCCDFEB-FC62-4479-9F5B-8AE3773B5934}">
            <xm:f>AND(E$10&lt;('\Users\ldorigny\AppData\Local\Microsoft\Windows\INetCache\Content.Outlook\747YH8QH\[APR Quantitative_ISP3 Indicators_Revised by MHPSS sector (002).xlsm]Part 1 - Project Info'!#REF!-31),ISBLANK(E130))</xm:f>
            <x14:dxf>
              <fill>
                <patternFill>
                  <bgColor rgb="FFFFFF00"/>
                </patternFill>
              </fill>
            </x14:dxf>
          </x14:cfRule>
          <x14:cfRule type="expression" priority="38" id="{44F3F861-EFD1-4C0E-AA1D-CCD0EBC0A985}">
            <xm:f>E$10&gt;'\Users\ldorigny\AppData\Local\Microsoft\Windows\INetCache\Content.Outlook\747YH8QH\[APR Quantitative_ISP3 Indicators_Revised by MHPSS sector (002).xlsm]Part 1 - Project Info'!#REF!</xm:f>
            <x14:dxf>
              <fill>
                <patternFill>
                  <bgColor theme="0" tint="-0.14996795556505021"/>
                </patternFill>
              </fill>
            </x14:dxf>
          </x14:cfRule>
          <xm:sqref>E130</xm:sqref>
        </x14:conditionalFormatting>
        <x14:conditionalFormatting xmlns:xm="http://schemas.microsoft.com/office/excel/2006/main">
          <x14:cfRule type="expression" priority="33" id="{65EABDFA-FF68-4C45-86EF-7FA85DCC7815}">
            <xm:f>AND(F$10&lt;('\Users\ldorigny\AppData\Local\Microsoft\Windows\INetCache\Content.Outlook\747YH8QH\[APR Quantitative_ISP3 Indicators_Revised by MHPSS sector (002).xlsm]Part 1 - Project Info'!#REF!-31),ISBLANK(F130))</xm:f>
            <x14:dxf>
              <fill>
                <patternFill>
                  <bgColor rgb="FFFFFF00"/>
                </patternFill>
              </fill>
            </x14:dxf>
          </x14:cfRule>
          <x14:cfRule type="expression" priority="34" id="{3064CA8D-D87B-4AFC-B4A0-62E0ACB671C5}">
            <xm:f>F$10&gt;'\Users\ldorigny\AppData\Local\Microsoft\Windows\INetCache\Content.Outlook\747YH8QH\[APR Quantitative_ISP3 Indicators_Revised by MHPSS sector (002).xlsm]Part 1 - Project Info'!#REF!</xm:f>
            <x14:dxf>
              <fill>
                <patternFill>
                  <bgColor theme="0" tint="-0.14996795556505021"/>
                </patternFill>
              </fill>
            </x14:dxf>
          </x14:cfRule>
          <xm:sqref>F130</xm:sqref>
        </x14:conditionalFormatting>
        <x14:conditionalFormatting xmlns:xm="http://schemas.microsoft.com/office/excel/2006/main">
          <x14:cfRule type="expression" priority="31" id="{6938F7B5-A261-4414-91FC-1EE43E877903}">
            <xm:f>AND(#REF!&lt;('\Users\ACF\Documents\APRs\[D56_APR Quantitative_FV.xlsm]Part 1 - Project Info'!#REF!-31),ISBLANK(#REF!))</xm:f>
            <x14:dxf>
              <fill>
                <patternFill>
                  <bgColor rgb="FFFFFF00"/>
                </patternFill>
              </fill>
            </x14:dxf>
          </x14:cfRule>
          <x14:cfRule type="expression" priority="32" id="{08269BF9-98A6-438D-963F-E820E4BC8523}">
            <xm:f>#REF!&gt;'\Users\ACF\Documents\APRs\[D56_APR Quantitative_FV.xlsm]Part 1 - Project Info'!#REF!</xm:f>
            <x14:dxf>
              <fill>
                <patternFill>
                  <bgColor theme="0" tint="-0.14996795556505021"/>
                </patternFill>
              </fill>
            </x14:dxf>
          </x14:cfRule>
          <xm:sqref>H130</xm:sqref>
        </x14:conditionalFormatting>
        <x14:conditionalFormatting xmlns:xm="http://schemas.microsoft.com/office/excel/2006/main">
          <x14:cfRule type="expression" priority="29" id="{BCED7855-BB12-48D3-AD35-C8D278E288FB}">
            <xm:f>AND(#REF!&lt;('\Users\ACF\Documents\APRs\[D56_APR Quantitative_FV.xlsm]Part 1 - Project Info'!#REF!-31),ISBLANK(#REF!))</xm:f>
            <x14:dxf>
              <fill>
                <patternFill>
                  <bgColor rgb="FFFFFF00"/>
                </patternFill>
              </fill>
            </x14:dxf>
          </x14:cfRule>
          <x14:cfRule type="expression" priority="30" id="{64977168-27FF-4BED-8DD2-F4B1C7E802D5}">
            <xm:f>#REF!&gt;'\Users\ACF\Documents\APRs\[D56_APR Quantitative_FV.xlsm]Part 1 - Project Info'!#REF!</xm:f>
            <x14:dxf>
              <fill>
                <patternFill>
                  <bgColor theme="0" tint="-0.14996795556505021"/>
                </patternFill>
              </fill>
            </x14:dxf>
          </x14:cfRule>
          <xm:sqref>L130</xm:sqref>
        </x14:conditionalFormatting>
        <x14:conditionalFormatting xmlns:xm="http://schemas.microsoft.com/office/excel/2006/main">
          <x14:cfRule type="expression" priority="27" id="{8A8D2CAE-408B-43C1-AFA2-DF47F1CA3D3E}">
            <xm:f>AND(#REF!&lt;('\Users\ACF\Documents\APRs\[D56_APR Quantitative_FV.xlsm]Part 1 - Project Info'!#REF!-31),ISBLANK(#REF!))</xm:f>
            <x14:dxf>
              <fill>
                <patternFill>
                  <bgColor rgb="FFFFFF00"/>
                </patternFill>
              </fill>
            </x14:dxf>
          </x14:cfRule>
          <x14:cfRule type="expression" priority="28" id="{CBFDD90F-0F1C-4766-8703-9AF6DF964902}">
            <xm:f>#REF!&gt;'\Users\ACF\Documents\APRs\[D56_APR Quantitative_FV.xlsm]Part 1 - Project Info'!#REF!</xm:f>
            <x14:dxf>
              <fill>
                <patternFill>
                  <bgColor theme="0" tint="-0.14996795556505021"/>
                </patternFill>
              </fill>
            </x14:dxf>
          </x14:cfRule>
          <xm:sqref>P130</xm:sqref>
        </x14:conditionalFormatting>
        <x14:conditionalFormatting xmlns:xm="http://schemas.microsoft.com/office/excel/2006/main">
          <x14:cfRule type="expression" priority="25" id="{F46BB174-94DF-4B72-8302-3434EB680389}">
            <xm:f>AND(#REF!&lt;('\Users\ACF\Documents\APRs\[D56_APR Quantitative_FV.xlsm]Part 1 - Project Info'!#REF!-31),ISBLANK(#REF!))</xm:f>
            <x14:dxf>
              <fill>
                <patternFill>
                  <bgColor rgb="FFFFFF00"/>
                </patternFill>
              </fill>
            </x14:dxf>
          </x14:cfRule>
          <x14:cfRule type="expression" priority="26" id="{0E8A2A95-62BD-469D-BE90-6B029854C668}">
            <xm:f>#REF!&gt;'\Users\ACF\Documents\APRs\[D56_APR Quantitative_FV.xlsm]Part 1 - Project Info'!#REF!</xm:f>
            <x14:dxf>
              <fill>
                <patternFill>
                  <bgColor theme="0" tint="-0.14996795556505021"/>
                </patternFill>
              </fill>
            </x14:dxf>
          </x14:cfRule>
          <xm:sqref>T130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pageSetUpPr fitToPage="1"/>
  </sheetPr>
  <dimension ref="A1:W79"/>
  <sheetViews>
    <sheetView showGridLines="0" topLeftCell="A52" zoomScale="50" zoomScaleNormal="50" zoomScaleSheetLayoutView="50" workbookViewId="0">
      <selection activeCell="H63" sqref="H63:H64"/>
    </sheetView>
  </sheetViews>
  <sheetFormatPr defaultColWidth="9.26953125" defaultRowHeight="14"/>
  <cols>
    <col min="1" max="1" width="6.26953125" style="78" customWidth="1"/>
    <col min="2" max="2" width="65.453125" style="78" customWidth="1"/>
    <col min="3" max="3" width="35.7265625" style="78" customWidth="1"/>
    <col min="4" max="4" width="39.453125" style="78" customWidth="1"/>
    <col min="5" max="6" width="17.7265625" style="78" customWidth="1"/>
    <col min="7" max="15" width="15.7265625" style="78" customWidth="1"/>
    <col min="16" max="16" width="19.54296875" style="78" customWidth="1"/>
    <col min="17" max="19" width="15.7265625" style="78" customWidth="1"/>
    <col min="20" max="20" width="10.453125" style="78" customWidth="1"/>
    <col min="21" max="21" width="8.7265625" style="78" customWidth="1"/>
    <col min="22" max="16384" width="9.26953125" style="78"/>
  </cols>
  <sheetData>
    <row r="1" spans="1:23" ht="32.25" customHeight="1" thickBot="1">
      <c r="A1" s="150"/>
      <c r="B1" s="151"/>
      <c r="C1" s="152"/>
      <c r="D1" s="153"/>
      <c r="E1" s="153"/>
      <c r="F1" s="153"/>
      <c r="G1" s="153"/>
      <c r="H1" s="153"/>
      <c r="I1" s="154"/>
      <c r="J1" s="154"/>
      <c r="K1" s="154"/>
      <c r="L1" s="154"/>
      <c r="M1" s="154"/>
      <c r="N1" s="154"/>
      <c r="O1" s="154"/>
      <c r="P1" s="154"/>
      <c r="Q1" s="154"/>
      <c r="R1" s="154"/>
      <c r="S1" s="154"/>
      <c r="T1" s="153"/>
      <c r="U1" s="155"/>
    </row>
    <row r="2" spans="1:23" ht="30" customHeight="1">
      <c r="A2" s="74"/>
      <c r="B2" s="75"/>
      <c r="C2" s="399" t="s">
        <v>131</v>
      </c>
      <c r="D2" s="400"/>
      <c r="E2" s="400"/>
      <c r="F2" s="400"/>
      <c r="G2" s="400"/>
      <c r="H2" s="400"/>
      <c r="I2" s="400"/>
      <c r="J2" s="400"/>
      <c r="K2" s="400"/>
      <c r="L2" s="400"/>
      <c r="M2" s="400"/>
      <c r="N2" s="400"/>
      <c r="O2" s="401"/>
      <c r="P2" s="76"/>
      <c r="Q2" s="76"/>
      <c r="R2" s="76"/>
      <c r="S2" s="76"/>
      <c r="T2" s="76"/>
      <c r="U2" s="77"/>
    </row>
    <row r="3" spans="1:23" ht="30" customHeight="1">
      <c r="A3" s="74"/>
      <c r="B3" s="75"/>
      <c r="C3" s="417"/>
      <c r="D3" s="418"/>
      <c r="E3" s="418"/>
      <c r="F3" s="418"/>
      <c r="G3" s="418"/>
      <c r="H3" s="418"/>
      <c r="I3" s="418"/>
      <c r="J3" s="418"/>
      <c r="K3" s="418"/>
      <c r="L3" s="418"/>
      <c r="M3" s="418"/>
      <c r="N3" s="418"/>
      <c r="O3" s="479"/>
      <c r="P3" s="76"/>
      <c r="Q3" s="76"/>
      <c r="R3" s="76"/>
      <c r="S3" s="76"/>
      <c r="T3" s="76"/>
      <c r="U3" s="77"/>
    </row>
    <row r="4" spans="1:23" s="158" customFormat="1" ht="30" customHeight="1" thickBot="1">
      <c r="A4" s="156"/>
      <c r="B4" s="75"/>
      <c r="C4" s="402"/>
      <c r="D4" s="403"/>
      <c r="E4" s="403"/>
      <c r="F4" s="403"/>
      <c r="G4" s="403"/>
      <c r="H4" s="403"/>
      <c r="I4" s="403"/>
      <c r="J4" s="403"/>
      <c r="K4" s="403"/>
      <c r="L4" s="403"/>
      <c r="M4" s="403"/>
      <c r="N4" s="403"/>
      <c r="O4" s="404"/>
      <c r="P4" s="76"/>
      <c r="Q4" s="76"/>
      <c r="R4" s="76"/>
      <c r="S4" s="76"/>
      <c r="T4" s="256"/>
      <c r="U4" s="157"/>
      <c r="V4" s="78"/>
      <c r="W4" s="78"/>
    </row>
    <row r="5" spans="1:23" ht="13.5" customHeight="1">
      <c r="A5" s="74"/>
      <c r="B5" s="75"/>
      <c r="C5" s="75"/>
      <c r="D5" s="75"/>
      <c r="E5" s="75"/>
      <c r="F5" s="75"/>
      <c r="G5" s="76"/>
      <c r="H5" s="76"/>
      <c r="I5" s="76"/>
      <c r="J5" s="76"/>
      <c r="K5" s="76"/>
      <c r="L5" s="76"/>
      <c r="M5" s="76"/>
      <c r="N5" s="76"/>
      <c r="O5" s="76"/>
      <c r="P5" s="76"/>
      <c r="Q5" s="76"/>
      <c r="R5" s="76"/>
      <c r="S5" s="76"/>
      <c r="T5" s="76"/>
      <c r="U5" s="77"/>
    </row>
    <row r="6" spans="1:23">
      <c r="A6" s="74"/>
      <c r="B6" s="79" t="s">
        <v>1</v>
      </c>
      <c r="C6" s="171">
        <f>'Part 1 - Project Info'!C2</f>
        <v>45596</v>
      </c>
      <c r="D6" s="76"/>
      <c r="E6" s="76"/>
      <c r="F6" s="76"/>
      <c r="G6" s="76"/>
      <c r="H6" s="76"/>
      <c r="I6" s="76"/>
      <c r="J6" s="76"/>
      <c r="K6" s="76"/>
      <c r="L6" s="76"/>
      <c r="M6" s="76"/>
      <c r="N6" s="76"/>
      <c r="O6" s="76"/>
      <c r="P6" s="76"/>
      <c r="Q6" s="76"/>
      <c r="R6" s="76"/>
      <c r="S6" s="76"/>
      <c r="T6" s="76"/>
      <c r="U6" s="77"/>
    </row>
    <row r="7" spans="1:23">
      <c r="A7" s="74"/>
      <c r="B7" s="76"/>
      <c r="C7" s="76"/>
      <c r="D7" s="76"/>
      <c r="E7" s="76"/>
      <c r="F7" s="76"/>
      <c r="G7" s="76"/>
      <c r="H7" s="76"/>
      <c r="I7" s="76"/>
      <c r="J7" s="76"/>
      <c r="K7" s="76"/>
      <c r="L7" s="76"/>
      <c r="M7" s="76"/>
      <c r="N7" s="76"/>
      <c r="O7" s="76"/>
      <c r="P7" s="76"/>
      <c r="Q7" s="76"/>
      <c r="R7" s="76"/>
      <c r="S7" s="76"/>
      <c r="T7" s="76"/>
      <c r="U7" s="77"/>
    </row>
    <row r="8" spans="1:23" ht="32.25" customHeight="1">
      <c r="A8" s="74"/>
      <c r="B8" s="24" t="s">
        <v>50</v>
      </c>
      <c r="C8" s="81"/>
      <c r="D8" s="82"/>
      <c r="E8" s="81"/>
      <c r="F8" s="81"/>
      <c r="G8" s="76"/>
      <c r="H8" s="76"/>
      <c r="I8" s="76"/>
      <c r="J8" s="76"/>
      <c r="K8" s="76"/>
      <c r="L8" s="83"/>
      <c r="M8" s="83"/>
      <c r="N8" s="83"/>
      <c r="O8" s="83"/>
      <c r="P8" s="83"/>
      <c r="Q8" s="83"/>
      <c r="R8" s="83"/>
      <c r="S8" s="83"/>
      <c r="T8" s="76"/>
      <c r="U8" s="77"/>
    </row>
    <row r="9" spans="1:23" ht="12" customHeight="1">
      <c r="A9" s="74"/>
      <c r="B9" s="84" t="s">
        <v>51</v>
      </c>
      <c r="C9" s="81"/>
      <c r="D9" s="82"/>
      <c r="E9" s="81"/>
      <c r="F9" s="81"/>
      <c r="G9" s="81"/>
      <c r="H9" s="84"/>
      <c r="I9" s="84"/>
      <c r="J9" s="84"/>
      <c r="K9" s="84"/>
      <c r="L9" s="83"/>
      <c r="M9" s="83"/>
      <c r="N9" s="83"/>
      <c r="O9" s="83"/>
      <c r="P9" s="83"/>
      <c r="Q9" s="83"/>
      <c r="R9" s="83"/>
      <c r="S9" s="83"/>
      <c r="T9" s="76"/>
      <c r="U9" s="77"/>
    </row>
    <row r="10" spans="1:23" ht="23.25" customHeight="1" thickBot="1">
      <c r="A10" s="74"/>
      <c r="B10" s="85" t="s">
        <v>52</v>
      </c>
      <c r="C10" s="81"/>
      <c r="D10" s="82"/>
      <c r="E10" s="81"/>
      <c r="F10" s="81"/>
      <c r="G10" s="81"/>
      <c r="H10" s="84"/>
      <c r="I10" s="84"/>
      <c r="J10" s="84"/>
      <c r="K10" s="84"/>
      <c r="L10" s="83"/>
      <c r="M10" s="83"/>
      <c r="N10" s="83"/>
      <c r="O10" s="83"/>
      <c r="P10" s="83"/>
      <c r="Q10" s="83"/>
      <c r="R10" s="83"/>
      <c r="S10" s="83"/>
      <c r="T10" s="76"/>
      <c r="U10" s="77"/>
    </row>
    <row r="11" spans="1:23" ht="75" customHeight="1" thickBot="1">
      <c r="A11" s="74"/>
      <c r="B11" s="86" t="s">
        <v>53</v>
      </c>
      <c r="C11" s="87" t="s">
        <v>62</v>
      </c>
      <c r="D11" s="87" t="s">
        <v>54</v>
      </c>
      <c r="E11" s="88" t="s">
        <v>55</v>
      </c>
      <c r="F11" s="89" t="s">
        <v>56</v>
      </c>
      <c r="G11" s="90" t="s">
        <v>57</v>
      </c>
      <c r="H11" s="91">
        <v>44562</v>
      </c>
      <c r="I11" s="92">
        <v>44593</v>
      </c>
      <c r="J11" s="185">
        <v>44621</v>
      </c>
      <c r="K11" s="92">
        <v>44652</v>
      </c>
      <c r="L11" s="185">
        <v>44682</v>
      </c>
      <c r="M11" s="92">
        <v>44713</v>
      </c>
      <c r="N11" s="185">
        <v>44743</v>
      </c>
      <c r="O11" s="92">
        <v>44774</v>
      </c>
      <c r="P11" s="185">
        <v>44805</v>
      </c>
      <c r="Q11" s="92">
        <v>44835</v>
      </c>
      <c r="R11" s="185">
        <v>44866</v>
      </c>
      <c r="S11" s="186">
        <v>44896</v>
      </c>
      <c r="T11" s="76"/>
      <c r="U11" s="77"/>
    </row>
    <row r="12" spans="1:23" ht="120.75" customHeight="1">
      <c r="A12" s="74"/>
      <c r="B12" s="496" t="s">
        <v>132</v>
      </c>
      <c r="C12" s="493"/>
      <c r="D12" s="159" t="s">
        <v>133</v>
      </c>
      <c r="E12" s="93"/>
      <c r="F12" s="94"/>
      <c r="G12" s="95"/>
      <c r="H12" s="96"/>
      <c r="I12" s="97"/>
      <c r="J12" s="97"/>
      <c r="K12" s="97"/>
      <c r="L12" s="97"/>
      <c r="M12" s="97"/>
      <c r="N12" s="97"/>
      <c r="O12" s="97"/>
      <c r="P12" s="97"/>
      <c r="Q12" s="97"/>
      <c r="R12" s="97"/>
      <c r="S12" s="98"/>
      <c r="T12" s="76"/>
      <c r="U12" s="77"/>
    </row>
    <row r="13" spans="1:23" ht="33" customHeight="1">
      <c r="A13" s="74"/>
      <c r="B13" s="497"/>
      <c r="C13" s="494"/>
      <c r="D13" s="162" t="s">
        <v>134</v>
      </c>
      <c r="E13" s="99"/>
      <c r="F13" s="100"/>
      <c r="G13" s="101"/>
      <c r="H13" s="102"/>
      <c r="I13" s="103"/>
      <c r="J13" s="103"/>
      <c r="K13" s="103"/>
      <c r="L13" s="103"/>
      <c r="M13" s="103"/>
      <c r="N13" s="103"/>
      <c r="O13" s="103"/>
      <c r="P13" s="103"/>
      <c r="Q13" s="103"/>
      <c r="R13" s="103"/>
      <c r="S13" s="104"/>
      <c r="T13" s="76"/>
      <c r="U13" s="77"/>
    </row>
    <row r="14" spans="1:23" ht="33" customHeight="1" thickBot="1">
      <c r="A14" s="74"/>
      <c r="B14" s="498"/>
      <c r="C14" s="495"/>
      <c r="D14" s="163" t="s">
        <v>134</v>
      </c>
      <c r="E14" s="105"/>
      <c r="F14" s="106"/>
      <c r="G14" s="107"/>
      <c r="H14" s="108"/>
      <c r="I14" s="109"/>
      <c r="J14" s="109"/>
      <c r="K14" s="109"/>
      <c r="L14" s="109"/>
      <c r="M14" s="109"/>
      <c r="N14" s="109"/>
      <c r="O14" s="109"/>
      <c r="P14" s="109"/>
      <c r="Q14" s="109"/>
      <c r="R14" s="109"/>
      <c r="S14" s="110"/>
      <c r="T14" s="76"/>
      <c r="U14" s="77"/>
    </row>
    <row r="15" spans="1:23" ht="27" customHeight="1">
      <c r="A15" s="74"/>
      <c r="B15" s="485" t="s">
        <v>135</v>
      </c>
      <c r="C15" s="160"/>
      <c r="D15" s="169" t="s">
        <v>136</v>
      </c>
      <c r="E15" s="93"/>
      <c r="F15" s="94"/>
      <c r="G15" s="112"/>
      <c r="H15" s="96"/>
      <c r="I15" s="97"/>
      <c r="J15" s="97"/>
      <c r="K15" s="97"/>
      <c r="L15" s="97"/>
      <c r="M15" s="97"/>
      <c r="N15" s="97"/>
      <c r="O15" s="97"/>
      <c r="P15" s="97"/>
      <c r="Q15" s="97"/>
      <c r="R15" s="97"/>
      <c r="S15" s="98"/>
      <c r="T15" s="76"/>
      <c r="U15" s="77"/>
    </row>
    <row r="16" spans="1:23" ht="75.75" customHeight="1">
      <c r="A16" s="74"/>
      <c r="B16" s="486"/>
      <c r="C16" s="488" t="s">
        <v>137</v>
      </c>
      <c r="D16" s="164" t="s">
        <v>138</v>
      </c>
      <c r="E16" s="99"/>
      <c r="F16" s="115" t="str">
        <f>IF(ISBLANK(H16),"",SUM(H16:S16))</f>
        <v/>
      </c>
      <c r="G16" s="116" t="str">
        <f>IF(ISBLANK(E16),"",F16/E16)</f>
        <v/>
      </c>
      <c r="H16" s="102"/>
      <c r="I16" s="103"/>
      <c r="J16" s="103"/>
      <c r="K16" s="103"/>
      <c r="L16" s="103"/>
      <c r="M16" s="103"/>
      <c r="N16" s="103"/>
      <c r="O16" s="103"/>
      <c r="P16" s="103"/>
      <c r="Q16" s="103"/>
      <c r="R16" s="103"/>
      <c r="S16" s="104"/>
      <c r="T16" s="76"/>
      <c r="U16" s="77"/>
    </row>
    <row r="17" spans="1:21" ht="66" customHeight="1">
      <c r="A17" s="74"/>
      <c r="B17" s="486"/>
      <c r="C17" s="488"/>
      <c r="D17" s="164" t="s">
        <v>139</v>
      </c>
      <c r="E17" s="99"/>
      <c r="F17" s="115" t="str">
        <f t="shared" ref="F17:F18" si="0">IF(ISBLANK(H17),"",SUM(H17:S17))</f>
        <v/>
      </c>
      <c r="G17" s="116" t="str">
        <f t="shared" ref="G17:G18" si="1">IF(ISBLANK(E17),"",F17/E17)</f>
        <v/>
      </c>
      <c r="H17" s="102"/>
      <c r="I17" s="103"/>
      <c r="J17" s="103"/>
      <c r="K17" s="103"/>
      <c r="L17" s="103"/>
      <c r="M17" s="103"/>
      <c r="N17" s="103"/>
      <c r="O17" s="103"/>
      <c r="P17" s="103"/>
      <c r="Q17" s="103"/>
      <c r="R17" s="103"/>
      <c r="S17" s="104"/>
      <c r="T17" s="76"/>
      <c r="U17" s="77"/>
    </row>
    <row r="18" spans="1:21" ht="78.75" customHeight="1" thickBot="1">
      <c r="A18" s="74"/>
      <c r="B18" s="486"/>
      <c r="C18" s="489"/>
      <c r="D18" s="161" t="s">
        <v>140</v>
      </c>
      <c r="E18" s="105"/>
      <c r="F18" s="115" t="str">
        <f t="shared" si="0"/>
        <v/>
      </c>
      <c r="G18" s="116" t="str">
        <f t="shared" si="1"/>
        <v/>
      </c>
      <c r="H18" s="108"/>
      <c r="I18" s="109"/>
      <c r="J18" s="109"/>
      <c r="K18" s="109"/>
      <c r="L18" s="109"/>
      <c r="M18" s="109"/>
      <c r="N18" s="109"/>
      <c r="O18" s="109"/>
      <c r="P18" s="109"/>
      <c r="Q18" s="109"/>
      <c r="R18" s="109"/>
      <c r="S18" s="110"/>
      <c r="T18" s="76"/>
      <c r="U18" s="77"/>
    </row>
    <row r="19" spans="1:21" ht="24" customHeight="1">
      <c r="A19" s="74"/>
      <c r="B19" s="486"/>
      <c r="C19" s="502" t="s">
        <v>103</v>
      </c>
      <c r="D19" s="181" t="s">
        <v>104</v>
      </c>
      <c r="E19" s="93"/>
      <c r="F19" s="141" t="str">
        <f>IF(ISBLANK(H19),"",SUM(H19:S19))</f>
        <v/>
      </c>
      <c r="G19" s="180" t="str">
        <f>IF(ISBLANK(E19),"",F19/E19)</f>
        <v/>
      </c>
      <c r="H19" s="96"/>
      <c r="I19" s="97"/>
      <c r="J19" s="97"/>
      <c r="K19" s="97"/>
      <c r="L19" s="97"/>
      <c r="M19" s="97"/>
      <c r="N19" s="97"/>
      <c r="O19" s="97"/>
      <c r="P19" s="97"/>
      <c r="Q19" s="97"/>
      <c r="R19" s="97"/>
      <c r="S19" s="98"/>
      <c r="T19" s="76"/>
      <c r="U19" s="77"/>
    </row>
    <row r="20" spans="1:21" ht="24" customHeight="1">
      <c r="A20" s="74"/>
      <c r="B20" s="486"/>
      <c r="C20" s="503"/>
      <c r="D20" s="173" t="s">
        <v>105</v>
      </c>
      <c r="E20" s="99"/>
      <c r="F20" s="115" t="str">
        <f t="shared" ref="F20:F21" si="2">IF(ISBLANK(H20),"",SUM(H20:S20))</f>
        <v/>
      </c>
      <c r="G20" s="116" t="str">
        <f t="shared" ref="G20:G21" si="3">IF(ISBLANK(E20),"",F20/E20)</f>
        <v/>
      </c>
      <c r="H20" s="102"/>
      <c r="I20" s="103"/>
      <c r="J20" s="103"/>
      <c r="K20" s="103"/>
      <c r="L20" s="103"/>
      <c r="M20" s="103"/>
      <c r="N20" s="103"/>
      <c r="O20" s="103"/>
      <c r="P20" s="103"/>
      <c r="Q20" s="103"/>
      <c r="R20" s="103"/>
      <c r="S20" s="104"/>
      <c r="T20" s="76"/>
      <c r="U20" s="77"/>
    </row>
    <row r="21" spans="1:21" ht="24" customHeight="1" thickBot="1">
      <c r="A21" s="74"/>
      <c r="B21" s="486"/>
      <c r="C21" s="504"/>
      <c r="D21" s="117" t="s">
        <v>106</v>
      </c>
      <c r="E21" s="105"/>
      <c r="F21" s="119" t="str">
        <f t="shared" si="2"/>
        <v/>
      </c>
      <c r="G21" s="120" t="str">
        <f t="shared" si="3"/>
        <v/>
      </c>
      <c r="H21" s="108"/>
      <c r="I21" s="109"/>
      <c r="J21" s="109"/>
      <c r="K21" s="109"/>
      <c r="L21" s="109"/>
      <c r="M21" s="109"/>
      <c r="N21" s="109"/>
      <c r="O21" s="109"/>
      <c r="P21" s="109"/>
      <c r="Q21" s="109"/>
      <c r="R21" s="109"/>
      <c r="S21" s="110"/>
      <c r="T21" s="76"/>
      <c r="U21" s="77"/>
    </row>
    <row r="22" spans="1:21" ht="24" customHeight="1">
      <c r="A22" s="74"/>
      <c r="B22" s="486"/>
      <c r="C22" s="502" t="s">
        <v>107</v>
      </c>
      <c r="D22" s="181" t="s">
        <v>108</v>
      </c>
      <c r="E22" s="93"/>
      <c r="F22" s="141" t="str">
        <f>IF(ISBLANK(H22),"",SUM(H22:S22))</f>
        <v/>
      </c>
      <c r="G22" s="180" t="str">
        <f>IF(ISBLANK(E22),"",F22/E22)</f>
        <v/>
      </c>
      <c r="H22" s="96"/>
      <c r="I22" s="97"/>
      <c r="J22" s="97"/>
      <c r="K22" s="97"/>
      <c r="L22" s="97"/>
      <c r="M22" s="97"/>
      <c r="N22" s="97"/>
      <c r="O22" s="97"/>
      <c r="P22" s="97"/>
      <c r="Q22" s="97"/>
      <c r="R22" s="97"/>
      <c r="S22" s="98"/>
      <c r="T22" s="76"/>
      <c r="U22" s="77"/>
    </row>
    <row r="23" spans="1:21" ht="24" customHeight="1">
      <c r="A23" s="74"/>
      <c r="B23" s="486"/>
      <c r="C23" s="503"/>
      <c r="D23" s="173" t="s">
        <v>109</v>
      </c>
      <c r="E23" s="99"/>
      <c r="F23" s="115" t="str">
        <f t="shared" ref="F23:F24" si="4">IF(ISBLANK(H23),"",SUM(H23:S23))</f>
        <v/>
      </c>
      <c r="G23" s="116" t="str">
        <f t="shared" ref="G23:G24" si="5">IF(ISBLANK(E23),"",F23/E23)</f>
        <v/>
      </c>
      <c r="H23" s="102"/>
      <c r="I23" s="103"/>
      <c r="J23" s="103"/>
      <c r="K23" s="103"/>
      <c r="L23" s="103"/>
      <c r="M23" s="103"/>
      <c r="N23" s="103"/>
      <c r="O23" s="103"/>
      <c r="P23" s="103"/>
      <c r="Q23" s="103"/>
      <c r="R23" s="103"/>
      <c r="S23" s="104"/>
      <c r="T23" s="76"/>
      <c r="U23" s="77"/>
    </row>
    <row r="24" spans="1:21" ht="24" customHeight="1" thickBot="1">
      <c r="A24" s="74"/>
      <c r="B24" s="487"/>
      <c r="C24" s="504"/>
      <c r="D24" s="117" t="s">
        <v>110</v>
      </c>
      <c r="E24" s="105"/>
      <c r="F24" s="119" t="str">
        <f t="shared" si="4"/>
        <v/>
      </c>
      <c r="G24" s="120" t="str">
        <f t="shared" si="5"/>
        <v/>
      </c>
      <c r="H24" s="108"/>
      <c r="I24" s="109"/>
      <c r="J24" s="109"/>
      <c r="K24" s="109"/>
      <c r="L24" s="109"/>
      <c r="M24" s="109"/>
      <c r="N24" s="109"/>
      <c r="O24" s="109"/>
      <c r="P24" s="109"/>
      <c r="Q24" s="109"/>
      <c r="R24" s="109"/>
      <c r="S24" s="110"/>
      <c r="T24" s="76"/>
      <c r="U24" s="77"/>
    </row>
    <row r="25" spans="1:21" ht="33" customHeight="1">
      <c r="A25" s="74"/>
      <c r="B25" s="485" t="s">
        <v>141</v>
      </c>
      <c r="C25" s="160"/>
      <c r="D25" s="169" t="s">
        <v>100</v>
      </c>
      <c r="E25" s="93"/>
      <c r="F25" s="94"/>
      <c r="G25" s="95"/>
      <c r="H25" s="96"/>
      <c r="I25" s="97"/>
      <c r="J25" s="97"/>
      <c r="K25" s="97"/>
      <c r="L25" s="97"/>
      <c r="M25" s="97"/>
      <c r="N25" s="97"/>
      <c r="O25" s="97"/>
      <c r="P25" s="97"/>
      <c r="Q25" s="97"/>
      <c r="R25" s="97"/>
      <c r="S25" s="98"/>
      <c r="T25" s="76"/>
      <c r="U25" s="77"/>
    </row>
    <row r="26" spans="1:21" ht="64.5" customHeight="1">
      <c r="A26" s="74"/>
      <c r="B26" s="486"/>
      <c r="C26" s="488" t="s">
        <v>142</v>
      </c>
      <c r="D26" s="164" t="s">
        <v>143</v>
      </c>
      <c r="E26" s="99"/>
      <c r="F26" s="115" t="str">
        <f>IF(ISBLANK(H26),"",SUM(H26:S26))</f>
        <v/>
      </c>
      <c r="G26" s="116" t="str">
        <f>IF(ISBLANK(E26),"",F26/E26)</f>
        <v/>
      </c>
      <c r="H26" s="102"/>
      <c r="I26" s="103"/>
      <c r="J26" s="103"/>
      <c r="K26" s="103"/>
      <c r="L26" s="103"/>
      <c r="M26" s="103"/>
      <c r="N26" s="103"/>
      <c r="O26" s="103"/>
      <c r="P26" s="103"/>
      <c r="Q26" s="103"/>
      <c r="R26" s="103"/>
      <c r="S26" s="104"/>
      <c r="T26" s="76"/>
      <c r="U26" s="77"/>
    </row>
    <row r="27" spans="1:21" ht="78.75" customHeight="1">
      <c r="A27" s="74"/>
      <c r="B27" s="486"/>
      <c r="C27" s="488"/>
      <c r="D27" s="164" t="s">
        <v>144</v>
      </c>
      <c r="E27" s="99"/>
      <c r="F27" s="115" t="str">
        <f t="shared" ref="F27:F30" si="6">IF(ISBLANK(H27),"",SUM(H27:S27))</f>
        <v/>
      </c>
      <c r="G27" s="116" t="str">
        <f t="shared" ref="G27:G30" si="7">IF(ISBLANK(E27),"",F27/E27)</f>
        <v/>
      </c>
      <c r="H27" s="102"/>
      <c r="I27" s="103"/>
      <c r="J27" s="103"/>
      <c r="K27" s="103"/>
      <c r="L27" s="103"/>
      <c r="M27" s="103"/>
      <c r="N27" s="103"/>
      <c r="O27" s="103"/>
      <c r="P27" s="103"/>
      <c r="Q27" s="103"/>
      <c r="R27" s="103"/>
      <c r="S27" s="104"/>
      <c r="T27" s="76"/>
      <c r="U27" s="77"/>
    </row>
    <row r="28" spans="1:21" ht="78.75" customHeight="1">
      <c r="A28" s="74"/>
      <c r="B28" s="486"/>
      <c r="C28" s="499"/>
      <c r="D28" s="164" t="s">
        <v>145</v>
      </c>
      <c r="E28" s="99"/>
      <c r="F28" s="115" t="str">
        <f t="shared" ref="F28:F29" si="8">IF(ISBLANK(H28),"",SUM(H28:S28))</f>
        <v/>
      </c>
      <c r="G28" s="116" t="str">
        <f t="shared" ref="G28:G29" si="9">IF(ISBLANK(E28),"",F28/E28)</f>
        <v/>
      </c>
      <c r="H28" s="138"/>
      <c r="I28" s="139"/>
      <c r="J28" s="139"/>
      <c r="K28" s="139"/>
      <c r="L28" s="139"/>
      <c r="M28" s="139"/>
      <c r="N28" s="139"/>
      <c r="O28" s="139"/>
      <c r="P28" s="139"/>
      <c r="Q28" s="139"/>
      <c r="R28" s="139"/>
      <c r="S28" s="140"/>
      <c r="T28" s="76"/>
      <c r="U28" s="77"/>
    </row>
    <row r="29" spans="1:21" ht="78.75" customHeight="1">
      <c r="A29" s="74"/>
      <c r="B29" s="486"/>
      <c r="C29" s="499"/>
      <c r="D29" s="164" t="s">
        <v>146</v>
      </c>
      <c r="E29" s="99"/>
      <c r="F29" s="115" t="str">
        <f t="shared" si="8"/>
        <v/>
      </c>
      <c r="G29" s="116" t="str">
        <f t="shared" si="9"/>
        <v/>
      </c>
      <c r="H29" s="138"/>
      <c r="I29" s="139"/>
      <c r="J29" s="139"/>
      <c r="K29" s="139"/>
      <c r="L29" s="139"/>
      <c r="M29" s="139"/>
      <c r="N29" s="139"/>
      <c r="O29" s="139"/>
      <c r="P29" s="139"/>
      <c r="Q29" s="139"/>
      <c r="R29" s="139"/>
      <c r="S29" s="140"/>
      <c r="T29" s="76"/>
      <c r="U29" s="77"/>
    </row>
    <row r="30" spans="1:21" ht="33" customHeight="1" thickBot="1">
      <c r="A30" s="74"/>
      <c r="B30" s="486"/>
      <c r="C30" s="489"/>
      <c r="D30" s="161" t="s">
        <v>147</v>
      </c>
      <c r="E30" s="105"/>
      <c r="F30" s="115" t="str">
        <f t="shared" si="6"/>
        <v/>
      </c>
      <c r="G30" s="116" t="str">
        <f t="shared" si="7"/>
        <v/>
      </c>
      <c r="H30" s="108"/>
      <c r="I30" s="109"/>
      <c r="J30" s="109"/>
      <c r="K30" s="109"/>
      <c r="L30" s="109"/>
      <c r="M30" s="109"/>
      <c r="N30" s="109"/>
      <c r="O30" s="109"/>
      <c r="P30" s="109"/>
      <c r="Q30" s="109"/>
      <c r="R30" s="109"/>
      <c r="S30" s="110"/>
      <c r="T30" s="76"/>
      <c r="U30" s="77"/>
    </row>
    <row r="31" spans="1:21" ht="24" customHeight="1">
      <c r="A31" s="74"/>
      <c r="B31" s="486"/>
      <c r="C31" s="500" t="s">
        <v>148</v>
      </c>
      <c r="D31" s="118" t="s">
        <v>149</v>
      </c>
      <c r="E31" s="93"/>
      <c r="F31" s="141" t="str">
        <f>IF(ISBLANK(H31),"",SUM(H31:S31))</f>
        <v/>
      </c>
      <c r="G31" s="180" t="str">
        <f>IF(ISBLANK(E31),"",F31/E31)</f>
        <v/>
      </c>
      <c r="H31" s="96"/>
      <c r="I31" s="97"/>
      <c r="J31" s="97"/>
      <c r="K31" s="97"/>
      <c r="L31" s="97"/>
      <c r="M31" s="97"/>
      <c r="N31" s="97"/>
      <c r="O31" s="97"/>
      <c r="P31" s="97"/>
      <c r="Q31" s="97"/>
      <c r="R31" s="97"/>
      <c r="S31" s="98"/>
      <c r="T31" s="76"/>
      <c r="U31" s="77"/>
    </row>
    <row r="32" spans="1:21" ht="24" customHeight="1">
      <c r="A32" s="74"/>
      <c r="B32" s="486"/>
      <c r="C32" s="500"/>
      <c r="D32" s="132" t="s">
        <v>150</v>
      </c>
      <c r="E32" s="99"/>
      <c r="F32" s="115" t="str">
        <f t="shared" ref="F32:F33" si="10">IF(ISBLANK(H32),"",SUM(H32:S32))</f>
        <v/>
      </c>
      <c r="G32" s="116" t="str">
        <f t="shared" ref="G32:G33" si="11">IF(ISBLANK(E32),"",F32/E32)</f>
        <v/>
      </c>
      <c r="H32" s="102"/>
      <c r="I32" s="103"/>
      <c r="J32" s="103"/>
      <c r="K32" s="103"/>
      <c r="L32" s="103"/>
      <c r="M32" s="103"/>
      <c r="N32" s="103"/>
      <c r="O32" s="103"/>
      <c r="P32" s="103"/>
      <c r="Q32" s="103"/>
      <c r="R32" s="103"/>
      <c r="S32" s="104"/>
      <c r="T32" s="76"/>
      <c r="U32" s="77"/>
    </row>
    <row r="33" spans="1:21" ht="24" customHeight="1" thickBot="1">
      <c r="A33" s="74"/>
      <c r="B33" s="486"/>
      <c r="C33" s="501"/>
      <c r="D33" s="174" t="s">
        <v>151</v>
      </c>
      <c r="E33" s="105"/>
      <c r="F33" s="119" t="str">
        <f t="shared" si="10"/>
        <v/>
      </c>
      <c r="G33" s="120" t="str">
        <f t="shared" si="11"/>
        <v/>
      </c>
      <c r="H33" s="108"/>
      <c r="I33" s="109"/>
      <c r="J33" s="109"/>
      <c r="K33" s="109"/>
      <c r="L33" s="109"/>
      <c r="M33" s="109"/>
      <c r="N33" s="109"/>
      <c r="O33" s="109"/>
      <c r="P33" s="109"/>
      <c r="Q33" s="109"/>
      <c r="R33" s="109"/>
      <c r="S33" s="110"/>
      <c r="T33" s="76"/>
      <c r="U33" s="77"/>
    </row>
    <row r="34" spans="1:21" ht="24" customHeight="1">
      <c r="A34" s="74"/>
      <c r="B34" s="486"/>
      <c r="C34" s="500" t="s">
        <v>152</v>
      </c>
      <c r="D34" s="118" t="s">
        <v>114</v>
      </c>
      <c r="E34" s="93"/>
      <c r="F34" s="141" t="str">
        <f>IF(ISBLANK(H34),"",SUM(H34:S34))</f>
        <v/>
      </c>
      <c r="G34" s="180" t="str">
        <f>IF(ISBLANK(E34),"",F34/E34)</f>
        <v/>
      </c>
      <c r="H34" s="96"/>
      <c r="I34" s="97"/>
      <c r="J34" s="97"/>
      <c r="K34" s="97"/>
      <c r="L34" s="97"/>
      <c r="M34" s="97"/>
      <c r="N34" s="97"/>
      <c r="O34" s="97"/>
      <c r="P34" s="97"/>
      <c r="Q34" s="97"/>
      <c r="R34" s="97"/>
      <c r="S34" s="98"/>
      <c r="T34" s="76"/>
      <c r="U34" s="77"/>
    </row>
    <row r="35" spans="1:21" ht="24" customHeight="1">
      <c r="A35" s="74"/>
      <c r="B35" s="486"/>
      <c r="C35" s="500"/>
      <c r="D35" s="132" t="s">
        <v>115</v>
      </c>
      <c r="E35" s="99"/>
      <c r="F35" s="115" t="str">
        <f t="shared" ref="F35:F36" si="12">IF(ISBLANK(H35),"",SUM(H35:S35))</f>
        <v/>
      </c>
      <c r="G35" s="116" t="str">
        <f t="shared" ref="G35:G36" si="13">IF(ISBLANK(E35),"",F35/E35)</f>
        <v/>
      </c>
      <c r="H35" s="102"/>
      <c r="I35" s="103"/>
      <c r="J35" s="103"/>
      <c r="K35" s="103"/>
      <c r="L35" s="103"/>
      <c r="M35" s="103"/>
      <c r="N35" s="103"/>
      <c r="O35" s="103"/>
      <c r="P35" s="103"/>
      <c r="Q35" s="103"/>
      <c r="R35" s="103"/>
      <c r="S35" s="104"/>
      <c r="T35" s="76"/>
      <c r="U35" s="77"/>
    </row>
    <row r="36" spans="1:21" ht="24" customHeight="1" thickBot="1">
      <c r="A36" s="74"/>
      <c r="B36" s="487"/>
      <c r="C36" s="501"/>
      <c r="D36" s="174" t="s">
        <v>116</v>
      </c>
      <c r="E36" s="105"/>
      <c r="F36" s="119" t="str">
        <f t="shared" si="12"/>
        <v/>
      </c>
      <c r="G36" s="120" t="str">
        <f t="shared" si="13"/>
        <v/>
      </c>
      <c r="H36" s="108"/>
      <c r="I36" s="109"/>
      <c r="J36" s="109"/>
      <c r="K36" s="109"/>
      <c r="L36" s="109"/>
      <c r="M36" s="109"/>
      <c r="N36" s="109"/>
      <c r="O36" s="109"/>
      <c r="P36" s="109"/>
      <c r="Q36" s="109"/>
      <c r="R36" s="109"/>
      <c r="S36" s="110"/>
      <c r="T36" s="76"/>
      <c r="U36" s="77"/>
    </row>
    <row r="37" spans="1:21" ht="33" customHeight="1">
      <c r="A37" s="74"/>
      <c r="B37" s="485" t="s">
        <v>153</v>
      </c>
      <c r="C37" s="160"/>
      <c r="D37" s="169" t="s">
        <v>118</v>
      </c>
      <c r="E37" s="93"/>
      <c r="F37" s="94"/>
      <c r="G37" s="95"/>
      <c r="H37" s="96"/>
      <c r="I37" s="97"/>
      <c r="J37" s="97"/>
      <c r="K37" s="97"/>
      <c r="L37" s="97"/>
      <c r="M37" s="97"/>
      <c r="N37" s="97"/>
      <c r="O37" s="97"/>
      <c r="P37" s="97"/>
      <c r="Q37" s="97"/>
      <c r="R37" s="97"/>
      <c r="S37" s="98"/>
      <c r="T37" s="76"/>
      <c r="U37" s="77"/>
    </row>
    <row r="38" spans="1:21" ht="64.5" customHeight="1">
      <c r="A38" s="74"/>
      <c r="B38" s="486"/>
      <c r="C38" s="488" t="s">
        <v>154</v>
      </c>
      <c r="D38" s="164" t="s">
        <v>155</v>
      </c>
      <c r="E38" s="99"/>
      <c r="F38" s="115" t="str">
        <f>IF(ISBLANK(H38),"",SUM(H38:S38))</f>
        <v/>
      </c>
      <c r="G38" s="116" t="str">
        <f>IF(ISBLANK(E38),"",F38/E38)</f>
        <v/>
      </c>
      <c r="H38" s="102"/>
      <c r="I38" s="103"/>
      <c r="J38" s="103"/>
      <c r="K38" s="103"/>
      <c r="L38" s="103"/>
      <c r="M38" s="103"/>
      <c r="N38" s="103"/>
      <c r="O38" s="103"/>
      <c r="P38" s="103"/>
      <c r="Q38" s="103"/>
      <c r="R38" s="103"/>
      <c r="S38" s="104"/>
      <c r="T38" s="76"/>
      <c r="U38" s="77"/>
    </row>
    <row r="39" spans="1:21" ht="63" customHeight="1">
      <c r="A39" s="74"/>
      <c r="B39" s="486"/>
      <c r="C39" s="488"/>
      <c r="D39" s="164" t="s">
        <v>156</v>
      </c>
      <c r="E39" s="99"/>
      <c r="F39" s="115" t="str">
        <f t="shared" ref="F39:F40" si="14">IF(ISBLANK(H39),"",SUM(H39:S39))</f>
        <v/>
      </c>
      <c r="G39" s="116" t="str">
        <f t="shared" ref="G39:G40" si="15">IF(ISBLANK(E39),"",F39/E39)</f>
        <v/>
      </c>
      <c r="H39" s="102"/>
      <c r="I39" s="103"/>
      <c r="J39" s="103"/>
      <c r="K39" s="103"/>
      <c r="L39" s="103"/>
      <c r="M39" s="103"/>
      <c r="N39" s="103"/>
      <c r="O39" s="103"/>
      <c r="P39" s="103"/>
      <c r="Q39" s="103"/>
      <c r="R39" s="103"/>
      <c r="S39" s="104"/>
      <c r="T39" s="76"/>
      <c r="U39" s="77"/>
    </row>
    <row r="40" spans="1:21" ht="63" customHeight="1" thickBot="1">
      <c r="A40" s="74"/>
      <c r="B40" s="486"/>
      <c r="C40" s="489"/>
      <c r="D40" s="161" t="s">
        <v>157</v>
      </c>
      <c r="E40" s="105"/>
      <c r="F40" s="119" t="str">
        <f t="shared" si="14"/>
        <v/>
      </c>
      <c r="G40" s="120" t="str">
        <f t="shared" si="15"/>
        <v/>
      </c>
      <c r="H40" s="108"/>
      <c r="I40" s="109"/>
      <c r="J40" s="109"/>
      <c r="K40" s="109"/>
      <c r="L40" s="109"/>
      <c r="M40" s="109"/>
      <c r="N40" s="109"/>
      <c r="O40" s="109"/>
      <c r="P40" s="109"/>
      <c r="Q40" s="109"/>
      <c r="R40" s="109"/>
      <c r="S40" s="110"/>
      <c r="T40" s="76"/>
      <c r="U40" s="77"/>
    </row>
    <row r="41" spans="1:21" ht="24" customHeight="1">
      <c r="A41" s="74"/>
      <c r="B41" s="486"/>
      <c r="C41" s="482" t="s">
        <v>158</v>
      </c>
      <c r="D41" s="182" t="s">
        <v>124</v>
      </c>
      <c r="E41" s="93"/>
      <c r="F41" s="141" t="str">
        <f>IF(ISBLANK(H41),"",SUM(H41:S41))</f>
        <v/>
      </c>
      <c r="G41" s="180" t="str">
        <f>IF(ISBLANK(E41),"",F41/E41)</f>
        <v/>
      </c>
      <c r="H41" s="96"/>
      <c r="I41" s="97"/>
      <c r="J41" s="97"/>
      <c r="K41" s="97"/>
      <c r="L41" s="97"/>
      <c r="M41" s="97"/>
      <c r="N41" s="97"/>
      <c r="O41" s="97"/>
      <c r="P41" s="97"/>
      <c r="Q41" s="97"/>
      <c r="R41" s="97"/>
      <c r="S41" s="98"/>
      <c r="T41" s="76"/>
      <c r="U41" s="77"/>
    </row>
    <row r="42" spans="1:21" ht="24" customHeight="1">
      <c r="A42" s="74"/>
      <c r="B42" s="486"/>
      <c r="C42" s="483"/>
      <c r="D42" s="175" t="s">
        <v>125</v>
      </c>
      <c r="E42" s="99"/>
      <c r="F42" s="115" t="str">
        <f t="shared" ref="F42:F43" si="16">IF(ISBLANK(H42),"",SUM(H42:S42))</f>
        <v/>
      </c>
      <c r="G42" s="116" t="str">
        <f t="shared" ref="G42:G43" si="17">IF(ISBLANK(E42),"",F42/E42)</f>
        <v/>
      </c>
      <c r="H42" s="102"/>
      <c r="I42" s="103"/>
      <c r="J42" s="103"/>
      <c r="K42" s="103"/>
      <c r="L42" s="103"/>
      <c r="M42" s="103"/>
      <c r="N42" s="103"/>
      <c r="O42" s="103"/>
      <c r="P42" s="103"/>
      <c r="Q42" s="103"/>
      <c r="R42" s="103"/>
      <c r="S42" s="104"/>
      <c r="T42" s="76"/>
      <c r="U42" s="77"/>
    </row>
    <row r="43" spans="1:21" ht="24" customHeight="1" thickBot="1">
      <c r="A43" s="74"/>
      <c r="B43" s="486"/>
      <c r="C43" s="484"/>
      <c r="D43" s="183" t="s">
        <v>126</v>
      </c>
      <c r="E43" s="105"/>
      <c r="F43" s="119" t="str">
        <f t="shared" si="16"/>
        <v/>
      </c>
      <c r="G43" s="120" t="str">
        <f t="shared" si="17"/>
        <v/>
      </c>
      <c r="H43" s="108"/>
      <c r="I43" s="109"/>
      <c r="J43" s="109"/>
      <c r="K43" s="109"/>
      <c r="L43" s="109"/>
      <c r="M43" s="109"/>
      <c r="N43" s="109"/>
      <c r="O43" s="109"/>
      <c r="P43" s="109"/>
      <c r="Q43" s="109"/>
      <c r="R43" s="109"/>
      <c r="S43" s="110"/>
      <c r="T43" s="76"/>
      <c r="U43" s="77"/>
    </row>
    <row r="44" spans="1:21" ht="24" customHeight="1">
      <c r="A44" s="74"/>
      <c r="B44" s="486"/>
      <c r="C44" s="482" t="s">
        <v>159</v>
      </c>
      <c r="D44" s="182" t="s">
        <v>128</v>
      </c>
      <c r="E44" s="93"/>
      <c r="F44" s="141" t="str">
        <f>IF(ISBLANK(H44),"",SUM(H44:S44))</f>
        <v/>
      </c>
      <c r="G44" s="180" t="str">
        <f>IF(ISBLANK(E44),"",F44/E44)</f>
        <v/>
      </c>
      <c r="H44" s="96"/>
      <c r="I44" s="97"/>
      <c r="J44" s="97"/>
      <c r="K44" s="97"/>
      <c r="L44" s="97"/>
      <c r="M44" s="97"/>
      <c r="N44" s="97"/>
      <c r="O44" s="97"/>
      <c r="P44" s="97"/>
      <c r="Q44" s="97"/>
      <c r="R44" s="97"/>
      <c r="S44" s="98"/>
      <c r="T44" s="76"/>
      <c r="U44" s="77"/>
    </row>
    <row r="45" spans="1:21" ht="24" customHeight="1">
      <c r="A45" s="74"/>
      <c r="B45" s="486"/>
      <c r="C45" s="483"/>
      <c r="D45" s="175" t="s">
        <v>129</v>
      </c>
      <c r="E45" s="99"/>
      <c r="F45" s="115" t="str">
        <f t="shared" ref="F45:F46" si="18">IF(ISBLANK(H45),"",SUM(H45:S45))</f>
        <v/>
      </c>
      <c r="G45" s="116" t="str">
        <f t="shared" ref="G45:G46" si="19">IF(ISBLANK(E45),"",F45/E45)</f>
        <v/>
      </c>
      <c r="H45" s="102"/>
      <c r="I45" s="103"/>
      <c r="J45" s="103"/>
      <c r="K45" s="103"/>
      <c r="L45" s="103"/>
      <c r="M45" s="103"/>
      <c r="N45" s="103"/>
      <c r="O45" s="103"/>
      <c r="P45" s="103"/>
      <c r="Q45" s="103"/>
      <c r="R45" s="103"/>
      <c r="S45" s="104"/>
      <c r="T45" s="76"/>
      <c r="U45" s="77"/>
    </row>
    <row r="46" spans="1:21" ht="24" customHeight="1" thickBot="1">
      <c r="A46" s="74"/>
      <c r="B46" s="487"/>
      <c r="C46" s="484"/>
      <c r="D46" s="183" t="s">
        <v>130</v>
      </c>
      <c r="E46" s="105"/>
      <c r="F46" s="119" t="str">
        <f t="shared" si="18"/>
        <v/>
      </c>
      <c r="G46" s="120" t="str">
        <f t="shared" si="19"/>
        <v/>
      </c>
      <c r="H46" s="108"/>
      <c r="I46" s="109"/>
      <c r="J46" s="109"/>
      <c r="K46" s="109"/>
      <c r="L46" s="109"/>
      <c r="M46" s="109"/>
      <c r="N46" s="109"/>
      <c r="O46" s="109"/>
      <c r="P46" s="109"/>
      <c r="Q46" s="109"/>
      <c r="R46" s="109"/>
      <c r="S46" s="110"/>
      <c r="T46" s="76"/>
      <c r="U46" s="77"/>
    </row>
    <row r="47" spans="1:21" ht="33" customHeight="1">
      <c r="A47" s="74"/>
      <c r="B47" s="485" t="s">
        <v>160</v>
      </c>
      <c r="C47" s="160"/>
      <c r="D47" s="170" t="s">
        <v>161</v>
      </c>
      <c r="E47" s="93"/>
      <c r="F47" s="94"/>
      <c r="G47" s="95"/>
      <c r="H47" s="96"/>
      <c r="I47" s="97"/>
      <c r="J47" s="97"/>
      <c r="K47" s="97"/>
      <c r="L47" s="97"/>
      <c r="M47" s="97"/>
      <c r="N47" s="97"/>
      <c r="O47" s="97"/>
      <c r="P47" s="97"/>
      <c r="Q47" s="97"/>
      <c r="R47" s="97"/>
      <c r="S47" s="98"/>
      <c r="T47" s="76"/>
      <c r="U47" s="77"/>
    </row>
    <row r="48" spans="1:21" ht="103.5" customHeight="1">
      <c r="A48" s="74"/>
      <c r="B48" s="486"/>
      <c r="C48" s="488" t="s">
        <v>162</v>
      </c>
      <c r="D48" s="165" t="s">
        <v>163</v>
      </c>
      <c r="E48" s="99"/>
      <c r="F48" s="115" t="str">
        <f>IF(ISBLANK(H48),"",SUM(H48:S48))</f>
        <v/>
      </c>
      <c r="G48" s="116" t="str">
        <f>IF(ISBLANK(E48),"",F48/E48)</f>
        <v/>
      </c>
      <c r="H48" s="102"/>
      <c r="I48" s="103"/>
      <c r="J48" s="103"/>
      <c r="K48" s="103"/>
      <c r="L48" s="103"/>
      <c r="M48" s="103"/>
      <c r="N48" s="103"/>
      <c r="O48" s="103"/>
      <c r="P48" s="103"/>
      <c r="Q48" s="103"/>
      <c r="R48" s="103"/>
      <c r="S48" s="104"/>
      <c r="T48" s="76"/>
      <c r="U48" s="77"/>
    </row>
    <row r="49" spans="1:21" ht="91.5" customHeight="1">
      <c r="A49" s="74"/>
      <c r="B49" s="486"/>
      <c r="C49" s="488"/>
      <c r="D49" s="165" t="s">
        <v>164</v>
      </c>
      <c r="E49" s="179"/>
      <c r="F49" s="167" t="str">
        <f t="shared" ref="F49" si="20">IF(ISBLANK(H49),"",SUM(H49:S49))</f>
        <v/>
      </c>
      <c r="G49" s="166" t="str">
        <f t="shared" ref="G49" si="21">IF(ISBLANK(E49),"",F49/E49)</f>
        <v/>
      </c>
      <c r="H49" s="138"/>
      <c r="I49" s="139"/>
      <c r="J49" s="139"/>
      <c r="K49" s="139"/>
      <c r="L49" s="139"/>
      <c r="M49" s="139"/>
      <c r="N49" s="139"/>
      <c r="O49" s="139"/>
      <c r="P49" s="139"/>
      <c r="Q49" s="139"/>
      <c r="R49" s="139"/>
      <c r="S49" s="140"/>
      <c r="T49" s="76"/>
      <c r="U49" s="77"/>
    </row>
    <row r="50" spans="1:21" ht="39.75" customHeight="1" thickBot="1">
      <c r="A50" s="74"/>
      <c r="B50" s="486"/>
      <c r="C50" s="489"/>
      <c r="D50" s="168" t="s">
        <v>165</v>
      </c>
      <c r="E50" s="105"/>
      <c r="F50" s="119" t="str">
        <f t="shared" ref="F50" si="22">IF(ISBLANK(H50),"",SUM(H50:S50))</f>
        <v/>
      </c>
      <c r="G50" s="120" t="str">
        <f t="shared" ref="G50" si="23">IF(ISBLANK(E50),"",F50/E50)</f>
        <v/>
      </c>
      <c r="H50" s="109"/>
      <c r="I50" s="109"/>
      <c r="J50" s="109"/>
      <c r="K50" s="109"/>
      <c r="L50" s="109"/>
      <c r="M50" s="109"/>
      <c r="N50" s="109"/>
      <c r="O50" s="109"/>
      <c r="P50" s="109"/>
      <c r="Q50" s="109"/>
      <c r="R50" s="109"/>
      <c r="S50" s="110"/>
      <c r="T50" s="76"/>
      <c r="U50" s="77"/>
    </row>
    <row r="51" spans="1:21" ht="24" customHeight="1">
      <c r="A51" s="74"/>
      <c r="B51" s="486"/>
      <c r="C51" s="482" t="s">
        <v>166</v>
      </c>
      <c r="D51" s="182" t="s">
        <v>167</v>
      </c>
      <c r="E51" s="93"/>
      <c r="F51" s="141" t="str">
        <f>IF(ISBLANK(H51),"",SUM(H51:S51))</f>
        <v/>
      </c>
      <c r="G51" s="180" t="str">
        <f>IF(ISBLANK(E51),"",F51/E51)</f>
        <v/>
      </c>
      <c r="H51" s="96"/>
      <c r="I51" s="97"/>
      <c r="J51" s="97"/>
      <c r="K51" s="97"/>
      <c r="L51" s="97"/>
      <c r="M51" s="97"/>
      <c r="N51" s="97"/>
      <c r="O51" s="97"/>
      <c r="P51" s="97"/>
      <c r="Q51" s="97"/>
      <c r="R51" s="97"/>
      <c r="S51" s="98"/>
      <c r="T51" s="76"/>
      <c r="U51" s="77"/>
    </row>
    <row r="52" spans="1:21" ht="24" customHeight="1">
      <c r="A52" s="74"/>
      <c r="B52" s="486"/>
      <c r="C52" s="483"/>
      <c r="D52" s="175" t="s">
        <v>168</v>
      </c>
      <c r="E52" s="99"/>
      <c r="F52" s="115" t="str">
        <f t="shared" ref="F52:F53" si="24">IF(ISBLANK(H52),"",SUM(H52:S52))</f>
        <v/>
      </c>
      <c r="G52" s="116" t="str">
        <f t="shared" ref="G52:G53" si="25">IF(ISBLANK(E52),"",F52/E52)</f>
        <v/>
      </c>
      <c r="H52" s="102"/>
      <c r="I52" s="103"/>
      <c r="J52" s="103"/>
      <c r="K52" s="103"/>
      <c r="L52" s="103"/>
      <c r="M52" s="103"/>
      <c r="N52" s="103"/>
      <c r="O52" s="103"/>
      <c r="P52" s="103"/>
      <c r="Q52" s="103"/>
      <c r="R52" s="103"/>
      <c r="S52" s="104"/>
      <c r="T52" s="76"/>
      <c r="U52" s="77"/>
    </row>
    <row r="53" spans="1:21" ht="24" customHeight="1" thickBot="1">
      <c r="A53" s="74"/>
      <c r="B53" s="486"/>
      <c r="C53" s="484"/>
      <c r="D53" s="183" t="s">
        <v>169</v>
      </c>
      <c r="E53" s="105"/>
      <c r="F53" s="119" t="str">
        <f t="shared" si="24"/>
        <v/>
      </c>
      <c r="G53" s="120" t="str">
        <f t="shared" si="25"/>
        <v/>
      </c>
      <c r="H53" s="108"/>
      <c r="I53" s="109"/>
      <c r="J53" s="109"/>
      <c r="K53" s="109"/>
      <c r="L53" s="109"/>
      <c r="M53" s="109"/>
      <c r="N53" s="109"/>
      <c r="O53" s="109"/>
      <c r="P53" s="109"/>
      <c r="Q53" s="109"/>
      <c r="R53" s="109"/>
      <c r="S53" s="110"/>
      <c r="T53" s="76"/>
      <c r="U53" s="77"/>
    </row>
    <row r="54" spans="1:21" ht="24" customHeight="1">
      <c r="A54" s="74"/>
      <c r="B54" s="486"/>
      <c r="C54" s="482" t="s">
        <v>170</v>
      </c>
      <c r="D54" s="182" t="s">
        <v>171</v>
      </c>
      <c r="E54" s="93"/>
      <c r="F54" s="141" t="str">
        <f>IF(ISBLANK(H54),"",SUM(H54:S54))</f>
        <v/>
      </c>
      <c r="G54" s="180" t="str">
        <f>IF(ISBLANK(E54),"",F54/E54)</f>
        <v/>
      </c>
      <c r="H54" s="96"/>
      <c r="I54" s="97"/>
      <c r="J54" s="97"/>
      <c r="K54" s="97"/>
      <c r="L54" s="97"/>
      <c r="M54" s="97"/>
      <c r="N54" s="97"/>
      <c r="O54" s="97"/>
      <c r="P54" s="97"/>
      <c r="Q54" s="97"/>
      <c r="R54" s="97"/>
      <c r="S54" s="98"/>
      <c r="T54" s="76"/>
      <c r="U54" s="77"/>
    </row>
    <row r="55" spans="1:21" ht="24" customHeight="1">
      <c r="A55" s="74"/>
      <c r="B55" s="486"/>
      <c r="C55" s="483"/>
      <c r="D55" s="175" t="s">
        <v>172</v>
      </c>
      <c r="E55" s="99"/>
      <c r="F55" s="115" t="str">
        <f t="shared" ref="F55:F56" si="26">IF(ISBLANK(H55),"",SUM(H55:S55))</f>
        <v/>
      </c>
      <c r="G55" s="116" t="str">
        <f t="shared" ref="G55:G56" si="27">IF(ISBLANK(E55),"",F55/E55)</f>
        <v/>
      </c>
      <c r="H55" s="102"/>
      <c r="I55" s="103"/>
      <c r="J55" s="103"/>
      <c r="K55" s="103"/>
      <c r="L55" s="103"/>
      <c r="M55" s="103"/>
      <c r="N55" s="103"/>
      <c r="O55" s="103"/>
      <c r="P55" s="103"/>
      <c r="Q55" s="103"/>
      <c r="R55" s="103"/>
      <c r="S55" s="104"/>
      <c r="T55" s="76"/>
      <c r="U55" s="77"/>
    </row>
    <row r="56" spans="1:21" ht="24" customHeight="1" thickBot="1">
      <c r="A56" s="74"/>
      <c r="B56" s="487"/>
      <c r="C56" s="484"/>
      <c r="D56" s="183" t="s">
        <v>173</v>
      </c>
      <c r="E56" s="105"/>
      <c r="F56" s="119" t="str">
        <f t="shared" si="26"/>
        <v/>
      </c>
      <c r="G56" s="120" t="str">
        <f t="shared" si="27"/>
        <v/>
      </c>
      <c r="H56" s="108"/>
      <c r="I56" s="109"/>
      <c r="J56" s="109"/>
      <c r="K56" s="109"/>
      <c r="L56" s="109"/>
      <c r="M56" s="109"/>
      <c r="N56" s="109"/>
      <c r="O56" s="109"/>
      <c r="P56" s="109"/>
      <c r="Q56" s="109"/>
      <c r="R56" s="109"/>
      <c r="S56" s="110"/>
      <c r="T56" s="76"/>
      <c r="U56" s="77"/>
    </row>
    <row r="57" spans="1:21" ht="12" customHeight="1">
      <c r="A57" s="74"/>
      <c r="B57" s="84"/>
      <c r="C57" s="81"/>
      <c r="D57" s="82"/>
      <c r="E57" s="81"/>
      <c r="F57" s="81"/>
      <c r="G57" s="81"/>
      <c r="H57" s="84"/>
      <c r="I57" s="84"/>
      <c r="J57" s="84"/>
      <c r="K57" s="84"/>
      <c r="L57" s="83"/>
      <c r="M57" s="83"/>
      <c r="N57" s="83"/>
      <c r="O57" s="83"/>
      <c r="P57" s="83"/>
      <c r="Q57" s="83"/>
      <c r="R57" s="83"/>
      <c r="S57" s="83"/>
      <c r="T57" s="76"/>
      <c r="U57" s="77"/>
    </row>
    <row r="58" spans="1:21" ht="12" customHeight="1">
      <c r="A58" s="74"/>
      <c r="B58" s="84"/>
      <c r="C58" s="81"/>
      <c r="D58" s="82"/>
      <c r="E58" s="81"/>
      <c r="F58" s="81"/>
      <c r="G58" s="81"/>
      <c r="H58" s="84"/>
      <c r="I58" s="84"/>
      <c r="J58" s="84"/>
      <c r="K58" s="84"/>
      <c r="L58" s="83"/>
      <c r="M58" s="83"/>
      <c r="N58" s="83"/>
      <c r="O58" s="83"/>
      <c r="P58" s="83"/>
      <c r="Q58" s="83"/>
      <c r="R58" s="83"/>
      <c r="S58" s="83"/>
      <c r="T58" s="76"/>
      <c r="U58" s="77"/>
    </row>
    <row r="59" spans="1:21" ht="12" customHeight="1">
      <c r="A59" s="74"/>
      <c r="B59" s="84"/>
      <c r="C59" s="81"/>
      <c r="D59" s="82"/>
      <c r="E59" s="81"/>
      <c r="F59" s="81"/>
      <c r="G59" s="81"/>
      <c r="H59" s="84"/>
      <c r="I59" s="84"/>
      <c r="J59" s="84"/>
      <c r="K59" s="84"/>
      <c r="L59" s="83"/>
      <c r="M59" s="83"/>
      <c r="N59" s="83"/>
      <c r="O59" s="83"/>
      <c r="P59" s="83"/>
      <c r="Q59" s="83"/>
      <c r="R59" s="83"/>
      <c r="S59" s="83"/>
      <c r="T59" s="76"/>
      <c r="U59" s="77"/>
    </row>
    <row r="60" spans="1:21" s="125" customFormat="1" ht="41.25" customHeight="1" thickBot="1">
      <c r="A60" s="121"/>
      <c r="B60" s="24" t="s">
        <v>58</v>
      </c>
      <c r="C60" s="122"/>
      <c r="D60" s="122"/>
      <c r="E60" s="122"/>
      <c r="F60" s="122"/>
      <c r="G60" s="122"/>
      <c r="H60" s="123"/>
      <c r="I60" s="123"/>
      <c r="J60" s="123"/>
      <c r="K60" s="123"/>
      <c r="L60" s="123"/>
      <c r="M60" s="123"/>
      <c r="N60" s="123"/>
      <c r="O60" s="123"/>
      <c r="P60" s="123"/>
      <c r="Q60" s="123"/>
      <c r="R60" s="123"/>
      <c r="S60" s="123"/>
      <c r="T60" s="83"/>
      <c r="U60" s="124"/>
    </row>
    <row r="61" spans="1:21" ht="50.25" customHeight="1" thickBot="1">
      <c r="A61" s="74"/>
      <c r="B61" s="414" t="s">
        <v>59</v>
      </c>
      <c r="C61" s="419"/>
      <c r="D61" s="420"/>
      <c r="E61" s="215" t="s">
        <v>55</v>
      </c>
      <c r="F61" s="216" t="s">
        <v>56</v>
      </c>
      <c r="G61" s="217" t="s">
        <v>57</v>
      </c>
      <c r="H61" s="257" t="s">
        <v>60</v>
      </c>
      <c r="I61" s="218">
        <v>44562</v>
      </c>
      <c r="J61" s="219">
        <v>44593</v>
      </c>
      <c r="K61" s="220">
        <v>44621</v>
      </c>
      <c r="L61" s="219">
        <v>44652</v>
      </c>
      <c r="M61" s="220">
        <v>44682</v>
      </c>
      <c r="N61" s="219">
        <v>44713</v>
      </c>
      <c r="O61" s="220">
        <v>44743</v>
      </c>
      <c r="P61" s="219">
        <v>44774</v>
      </c>
      <c r="Q61" s="220">
        <v>44805</v>
      </c>
      <c r="R61" s="219">
        <v>44835</v>
      </c>
      <c r="S61" s="220">
        <v>44866</v>
      </c>
      <c r="T61" s="221">
        <v>44896</v>
      </c>
      <c r="U61" s="77"/>
    </row>
    <row r="62" spans="1:21" ht="67.5" customHeight="1">
      <c r="A62" s="74"/>
      <c r="B62" s="490" t="s">
        <v>174</v>
      </c>
      <c r="C62" s="505" t="s">
        <v>175</v>
      </c>
      <c r="D62" s="506"/>
      <c r="E62" s="192" t="str">
        <f>IF(E65+E66=0,"",(E63+E64)/(E66+E65))</f>
        <v/>
      </c>
      <c r="F62" s="192" t="str">
        <f>IF(F65+F66=0,"",(F63+F64)/(F66+F65))</f>
        <v/>
      </c>
      <c r="G62" s="192" t="str">
        <f>IF(ISERROR(F62/E62),"",F62/E62)</f>
        <v/>
      </c>
      <c r="H62" s="242"/>
      <c r="I62" s="192" t="str">
        <f t="shared" ref="I62:T62" si="28">IF(I65+I66=0,"",(I63+I64)/(I66+I65))</f>
        <v/>
      </c>
      <c r="J62" s="192" t="str">
        <f t="shared" si="28"/>
        <v/>
      </c>
      <c r="K62" s="192" t="str">
        <f t="shared" si="28"/>
        <v/>
      </c>
      <c r="L62" s="192" t="str">
        <f t="shared" si="28"/>
        <v/>
      </c>
      <c r="M62" s="192" t="str">
        <f t="shared" si="28"/>
        <v/>
      </c>
      <c r="N62" s="192" t="str">
        <f t="shared" si="28"/>
        <v/>
      </c>
      <c r="O62" s="192" t="str">
        <f t="shared" si="28"/>
        <v/>
      </c>
      <c r="P62" s="192" t="str">
        <f t="shared" si="28"/>
        <v/>
      </c>
      <c r="Q62" s="192" t="str">
        <f t="shared" si="28"/>
        <v/>
      </c>
      <c r="R62" s="192" t="str">
        <f t="shared" si="28"/>
        <v/>
      </c>
      <c r="S62" s="192" t="str">
        <f t="shared" si="28"/>
        <v/>
      </c>
      <c r="T62" s="194" t="str">
        <f t="shared" si="28"/>
        <v/>
      </c>
      <c r="U62" s="77"/>
    </row>
    <row r="63" spans="1:21" ht="39" customHeight="1">
      <c r="A63" s="74"/>
      <c r="B63" s="491"/>
      <c r="C63" s="426" t="s">
        <v>176</v>
      </c>
      <c r="D63" s="507"/>
      <c r="E63" s="204"/>
      <c r="F63" s="146">
        <f>SUM(I63:T63)</f>
        <v>0</v>
      </c>
      <c r="G63" s="233" t="str">
        <f>IF(ISBLANK(E63),"",F63/E63)</f>
        <v/>
      </c>
      <c r="H63" s="273"/>
      <c r="I63" s="184"/>
      <c r="J63" s="113"/>
      <c r="K63" s="113"/>
      <c r="L63" s="113"/>
      <c r="M63" s="113"/>
      <c r="N63" s="113"/>
      <c r="O63" s="113"/>
      <c r="P63" s="113"/>
      <c r="Q63" s="113"/>
      <c r="R63" s="113"/>
      <c r="S63" s="113"/>
      <c r="T63" s="114"/>
      <c r="U63" s="77"/>
    </row>
    <row r="64" spans="1:21" ht="39" customHeight="1">
      <c r="A64" s="74"/>
      <c r="B64" s="491"/>
      <c r="C64" s="426" t="s">
        <v>177</v>
      </c>
      <c r="D64" s="507"/>
      <c r="E64" s="195"/>
      <c r="F64" s="143">
        <f>SUM(I64:T64)</f>
        <v>0</v>
      </c>
      <c r="G64" s="196" t="str">
        <f>IF(ISBLANK(E64),"",F64/E64)</f>
        <v/>
      </c>
      <c r="H64" s="244"/>
      <c r="I64" s="129"/>
      <c r="J64" s="103"/>
      <c r="K64" s="103"/>
      <c r="L64" s="103"/>
      <c r="M64" s="103"/>
      <c r="N64" s="103"/>
      <c r="O64" s="103"/>
      <c r="P64" s="103"/>
      <c r="Q64" s="103"/>
      <c r="R64" s="103"/>
      <c r="S64" s="103"/>
      <c r="T64" s="104"/>
      <c r="U64" s="77"/>
    </row>
    <row r="65" spans="1:21" ht="42.75" customHeight="1">
      <c r="A65" s="74"/>
      <c r="B65" s="491"/>
      <c r="C65" s="426" t="s">
        <v>178</v>
      </c>
      <c r="D65" s="507"/>
      <c r="E65" s="195"/>
      <c r="F65" s="143">
        <f>SUM(I65:T65)</f>
        <v>0</v>
      </c>
      <c r="G65" s="196" t="str">
        <f t="shared" ref="G65:G66" si="29">IF(ISBLANK(E65),"",F65/E65)</f>
        <v/>
      </c>
      <c r="H65" s="244"/>
      <c r="I65" s="129"/>
      <c r="J65" s="103"/>
      <c r="K65" s="103"/>
      <c r="L65" s="103"/>
      <c r="M65" s="103"/>
      <c r="N65" s="103"/>
      <c r="O65" s="103"/>
      <c r="P65" s="103"/>
      <c r="Q65" s="103"/>
      <c r="R65" s="103"/>
      <c r="S65" s="103"/>
      <c r="T65" s="104"/>
      <c r="U65" s="77"/>
    </row>
    <row r="66" spans="1:21" ht="42.75" customHeight="1" thickBot="1">
      <c r="A66" s="74"/>
      <c r="B66" s="492"/>
      <c r="C66" s="480" t="s">
        <v>179</v>
      </c>
      <c r="D66" s="481"/>
      <c r="E66" s="197"/>
      <c r="F66" s="145">
        <f>SUM(I66:T66)</f>
        <v>0</v>
      </c>
      <c r="G66" s="198" t="str">
        <f t="shared" si="29"/>
        <v/>
      </c>
      <c r="H66" s="243"/>
      <c r="I66" s="130"/>
      <c r="J66" s="109"/>
      <c r="K66" s="109"/>
      <c r="L66" s="109"/>
      <c r="M66" s="109"/>
      <c r="N66" s="109"/>
      <c r="O66" s="109"/>
      <c r="P66" s="109"/>
      <c r="Q66" s="109"/>
      <c r="R66" s="109"/>
      <c r="S66" s="109"/>
      <c r="T66" s="110"/>
      <c r="U66" s="77"/>
    </row>
    <row r="67" spans="1:21" ht="56.65" customHeight="1">
      <c r="A67" s="74"/>
      <c r="B67" s="436" t="s">
        <v>180</v>
      </c>
      <c r="C67" s="505" t="s">
        <v>181</v>
      </c>
      <c r="D67" s="506"/>
      <c r="E67" s="245">
        <f>SUM(E68:E69)</f>
        <v>0</v>
      </c>
      <c r="F67" s="245">
        <f>SUM(F68:F69)</f>
        <v>0</v>
      </c>
      <c r="G67" s="193" t="str">
        <f>IF(ISERROR(F67/E67),"",F67/E67)</f>
        <v/>
      </c>
      <c r="H67" s="245">
        <f>SUM(H68:H69)</f>
        <v>0</v>
      </c>
      <c r="I67" s="245">
        <f t="shared" ref="I67:T67" si="30">SUM(I68:I69)</f>
        <v>0</v>
      </c>
      <c r="J67" s="245">
        <f t="shared" si="30"/>
        <v>0</v>
      </c>
      <c r="K67" s="245">
        <f t="shared" si="30"/>
        <v>0</v>
      </c>
      <c r="L67" s="245">
        <f t="shared" si="30"/>
        <v>0</v>
      </c>
      <c r="M67" s="245">
        <f t="shared" si="30"/>
        <v>0</v>
      </c>
      <c r="N67" s="245">
        <f t="shared" si="30"/>
        <v>0</v>
      </c>
      <c r="O67" s="245">
        <f t="shared" si="30"/>
        <v>0</v>
      </c>
      <c r="P67" s="245">
        <f t="shared" si="30"/>
        <v>0</v>
      </c>
      <c r="Q67" s="245">
        <f t="shared" si="30"/>
        <v>0</v>
      </c>
      <c r="R67" s="245">
        <f t="shared" si="30"/>
        <v>0</v>
      </c>
      <c r="S67" s="245">
        <f t="shared" si="30"/>
        <v>0</v>
      </c>
      <c r="T67" s="246">
        <f t="shared" si="30"/>
        <v>0</v>
      </c>
      <c r="U67" s="77"/>
    </row>
    <row r="68" spans="1:21" ht="49.5" customHeight="1">
      <c r="A68" s="74"/>
      <c r="B68" s="437"/>
      <c r="C68" s="514" t="s">
        <v>182</v>
      </c>
      <c r="D68" s="515"/>
      <c r="E68" s="225"/>
      <c r="F68" s="143">
        <f>SUM(I68:T68)</f>
        <v>0</v>
      </c>
      <c r="G68" s="235" t="str">
        <f>IF(ISBLANK(E68),"",F68/E68)</f>
        <v/>
      </c>
      <c r="H68" s="254"/>
      <c r="I68" s="129"/>
      <c r="J68" s="103"/>
      <c r="K68" s="103"/>
      <c r="L68" s="103"/>
      <c r="M68" s="103"/>
      <c r="N68" s="103"/>
      <c r="O68" s="103"/>
      <c r="P68" s="103"/>
      <c r="Q68" s="103"/>
      <c r="R68" s="103"/>
      <c r="S68" s="103"/>
      <c r="T68" s="104"/>
      <c r="U68" s="77"/>
    </row>
    <row r="69" spans="1:21" ht="43.5" customHeight="1" thickBot="1">
      <c r="A69" s="74"/>
      <c r="B69" s="438"/>
      <c r="C69" s="521" t="s">
        <v>183</v>
      </c>
      <c r="D69" s="522"/>
      <c r="E69" s="258"/>
      <c r="F69" s="145">
        <f>SUM(I69:T69)</f>
        <v>0</v>
      </c>
      <c r="G69" s="236" t="str">
        <f>IF(ISBLANK(E69),"",F69/E69)</f>
        <v/>
      </c>
      <c r="H69" s="255"/>
      <c r="I69" s="130"/>
      <c r="J69" s="109"/>
      <c r="K69" s="109"/>
      <c r="L69" s="109"/>
      <c r="M69" s="109"/>
      <c r="N69" s="109"/>
      <c r="O69" s="109"/>
      <c r="P69" s="109"/>
      <c r="Q69" s="109"/>
      <c r="R69" s="109"/>
      <c r="S69" s="109"/>
      <c r="T69" s="110"/>
      <c r="U69" s="77"/>
    </row>
    <row r="70" spans="1:21" s="125" customFormat="1" ht="32.25" customHeight="1">
      <c r="A70" s="121"/>
      <c r="B70" s="80"/>
      <c r="C70" s="122"/>
      <c r="D70" s="122"/>
      <c r="E70" s="122"/>
      <c r="F70" s="122"/>
      <c r="G70" s="122"/>
      <c r="H70" s="123"/>
      <c r="I70" s="123"/>
      <c r="J70" s="123"/>
      <c r="K70" s="123"/>
      <c r="L70" s="123"/>
      <c r="M70" s="123"/>
      <c r="N70" s="123"/>
      <c r="O70" s="123"/>
      <c r="P70" s="123"/>
      <c r="Q70" s="123"/>
      <c r="R70" s="123"/>
      <c r="S70" s="123"/>
      <c r="T70" s="83"/>
      <c r="U70" s="124"/>
    </row>
    <row r="71" spans="1:21" s="125" customFormat="1" ht="23.25" customHeight="1" thickBot="1">
      <c r="A71" s="121"/>
      <c r="B71" s="80"/>
      <c r="C71" s="122"/>
      <c r="D71" s="122"/>
      <c r="E71" s="122"/>
      <c r="F71" s="122"/>
      <c r="G71" s="122"/>
      <c r="H71" s="123"/>
      <c r="I71" s="123"/>
      <c r="J71" s="123"/>
      <c r="K71" s="123"/>
      <c r="L71" s="123"/>
      <c r="M71" s="123"/>
      <c r="N71" s="123"/>
      <c r="O71" s="123"/>
      <c r="P71" s="123"/>
      <c r="Q71" s="123"/>
      <c r="R71" s="123"/>
      <c r="S71" s="123"/>
      <c r="T71" s="83"/>
      <c r="U71" s="124"/>
    </row>
    <row r="72" spans="1:21" ht="60.75" customHeight="1" thickBot="1">
      <c r="A72" s="74"/>
      <c r="B72" s="518" t="s">
        <v>184</v>
      </c>
      <c r="C72" s="519"/>
      <c r="D72" s="520"/>
      <c r="E72" s="222" t="s">
        <v>55</v>
      </c>
      <c r="F72" s="216" t="s">
        <v>56</v>
      </c>
      <c r="G72" s="217" t="s">
        <v>57</v>
      </c>
      <c r="H72" s="257" t="s">
        <v>60</v>
      </c>
      <c r="I72" s="206">
        <v>44562</v>
      </c>
      <c r="J72" s="207">
        <v>44593</v>
      </c>
      <c r="K72" s="208">
        <v>44621</v>
      </c>
      <c r="L72" s="207">
        <v>44652</v>
      </c>
      <c r="M72" s="208">
        <v>44682</v>
      </c>
      <c r="N72" s="207">
        <v>44713</v>
      </c>
      <c r="O72" s="208">
        <v>44743</v>
      </c>
      <c r="P72" s="207">
        <v>44774</v>
      </c>
      <c r="Q72" s="208">
        <v>44805</v>
      </c>
      <c r="R72" s="207">
        <v>44835</v>
      </c>
      <c r="S72" s="208">
        <v>44866</v>
      </c>
      <c r="T72" s="209">
        <v>44896</v>
      </c>
      <c r="U72" s="77"/>
    </row>
    <row r="73" spans="1:21" s="125" customFormat="1" ht="44.25" customHeight="1" thickBot="1">
      <c r="A73" s="121"/>
      <c r="B73" s="190" t="s">
        <v>185</v>
      </c>
      <c r="C73" s="516" t="s">
        <v>186</v>
      </c>
      <c r="D73" s="517"/>
      <c r="E73" s="247">
        <f>SUM(E74:E77)</f>
        <v>0</v>
      </c>
      <c r="F73" s="245">
        <f>SUM(F74:F77)</f>
        <v>0</v>
      </c>
      <c r="G73" s="192" t="str">
        <f>IF(ISERROR(F73/E73),"",F73/E73)</f>
        <v/>
      </c>
      <c r="H73" s="245">
        <f t="shared" ref="H73:T73" si="31">SUM(H74:H77)</f>
        <v>0</v>
      </c>
      <c r="I73" s="245">
        <f t="shared" si="31"/>
        <v>0</v>
      </c>
      <c r="J73" s="245">
        <f t="shared" si="31"/>
        <v>0</v>
      </c>
      <c r="K73" s="245">
        <f t="shared" si="31"/>
        <v>0</v>
      </c>
      <c r="L73" s="245">
        <f t="shared" si="31"/>
        <v>0</v>
      </c>
      <c r="M73" s="245">
        <f t="shared" si="31"/>
        <v>0</v>
      </c>
      <c r="N73" s="245">
        <f t="shared" si="31"/>
        <v>0</v>
      </c>
      <c r="O73" s="245">
        <f t="shared" si="31"/>
        <v>0</v>
      </c>
      <c r="P73" s="245">
        <f t="shared" si="31"/>
        <v>0</v>
      </c>
      <c r="Q73" s="245">
        <f t="shared" si="31"/>
        <v>0</v>
      </c>
      <c r="R73" s="245">
        <f t="shared" si="31"/>
        <v>0</v>
      </c>
      <c r="S73" s="245">
        <f t="shared" si="31"/>
        <v>0</v>
      </c>
      <c r="T73" s="246">
        <f t="shared" si="31"/>
        <v>0</v>
      </c>
      <c r="U73" s="124"/>
    </row>
    <row r="74" spans="1:21" ht="29.65" customHeight="1">
      <c r="A74" s="74"/>
      <c r="B74" s="527" t="s">
        <v>187</v>
      </c>
      <c r="C74" s="525" t="s">
        <v>188</v>
      </c>
      <c r="D74" s="526"/>
      <c r="E74" s="223"/>
      <c r="F74" s="143">
        <f>SUM(I74:T74)</f>
        <v>0</v>
      </c>
      <c r="G74" s="235" t="str">
        <f>IF(ISBLANK(E74),"",F74/E74)</f>
        <v/>
      </c>
      <c r="H74" s="259"/>
      <c r="I74" s="113"/>
      <c r="J74" s="113"/>
      <c r="K74" s="113"/>
      <c r="L74" s="113"/>
      <c r="M74" s="113"/>
      <c r="N74" s="113"/>
      <c r="O74" s="113"/>
      <c r="P74" s="113"/>
      <c r="Q74" s="113"/>
      <c r="R74" s="113"/>
      <c r="S74" s="113"/>
      <c r="T74" s="114"/>
      <c r="U74" s="77"/>
    </row>
    <row r="75" spans="1:21" ht="40.5" customHeight="1" thickBot="1">
      <c r="A75" s="74"/>
      <c r="B75" s="528"/>
      <c r="C75" s="523" t="s">
        <v>189</v>
      </c>
      <c r="D75" s="524"/>
      <c r="E75" s="223"/>
      <c r="F75" s="143">
        <f>SUM(I75:T75)</f>
        <v>0</v>
      </c>
      <c r="G75" s="235" t="str">
        <f t="shared" ref="G75" si="32">IF(ISBLANK(E75),"",F75/E75)</f>
        <v/>
      </c>
      <c r="H75" s="254"/>
      <c r="I75" s="103"/>
      <c r="J75" s="103"/>
      <c r="K75" s="103"/>
      <c r="L75" s="103"/>
      <c r="M75" s="103"/>
      <c r="N75" s="103"/>
      <c r="O75" s="103"/>
      <c r="P75" s="103"/>
      <c r="Q75" s="103"/>
      <c r="R75" s="103"/>
      <c r="S75" s="103"/>
      <c r="T75" s="104"/>
      <c r="U75" s="77"/>
    </row>
    <row r="76" spans="1:21" ht="36" customHeight="1">
      <c r="A76" s="74"/>
      <c r="B76" s="508" t="s">
        <v>190</v>
      </c>
      <c r="C76" s="510" t="s">
        <v>191</v>
      </c>
      <c r="D76" s="511"/>
      <c r="E76" s="223"/>
      <c r="F76" s="143">
        <f>SUM(I76:T76)</f>
        <v>0</v>
      </c>
      <c r="G76" s="235" t="str">
        <f>IF(ISBLANK(E76),"",F76/E76)</f>
        <v/>
      </c>
      <c r="H76" s="254"/>
      <c r="I76" s="103"/>
      <c r="J76" s="103"/>
      <c r="K76" s="103"/>
      <c r="L76" s="103"/>
      <c r="M76" s="103"/>
      <c r="N76" s="103"/>
      <c r="O76" s="103"/>
      <c r="P76" s="103"/>
      <c r="Q76" s="103"/>
      <c r="R76" s="103"/>
      <c r="S76" s="103"/>
      <c r="T76" s="104"/>
      <c r="U76" s="77"/>
    </row>
    <row r="77" spans="1:21" ht="37.5" customHeight="1" thickBot="1">
      <c r="A77" s="74"/>
      <c r="B77" s="509"/>
      <c r="C77" s="512" t="s">
        <v>192</v>
      </c>
      <c r="D77" s="513"/>
      <c r="E77" s="226"/>
      <c r="F77" s="145">
        <f>SUM(I77:T77)</f>
        <v>0</v>
      </c>
      <c r="G77" s="236" t="str">
        <f>IF(ISBLANK(E77),"",F77/E77)</f>
        <v/>
      </c>
      <c r="H77" s="255"/>
      <c r="I77" s="109"/>
      <c r="J77" s="109"/>
      <c r="K77" s="109"/>
      <c r="L77" s="109"/>
      <c r="M77" s="109"/>
      <c r="N77" s="109"/>
      <c r="O77" s="109"/>
      <c r="P77" s="109"/>
      <c r="Q77" s="109"/>
      <c r="R77" s="109"/>
      <c r="S77" s="109"/>
      <c r="T77" s="110"/>
      <c r="U77" s="77"/>
    </row>
    <row r="78" spans="1:21" s="125" customFormat="1" ht="23.25" customHeight="1">
      <c r="A78" s="121"/>
      <c r="B78" s="80"/>
      <c r="C78" s="122"/>
      <c r="D78" s="122"/>
      <c r="E78" s="122"/>
      <c r="F78" s="122"/>
      <c r="G78" s="122"/>
      <c r="H78" s="123"/>
      <c r="I78" s="123"/>
      <c r="J78" s="123"/>
      <c r="K78" s="123"/>
      <c r="L78" s="123"/>
      <c r="M78" s="123"/>
      <c r="N78" s="123"/>
      <c r="O78" s="123"/>
      <c r="P78" s="123"/>
      <c r="Q78" s="123"/>
      <c r="R78" s="123"/>
      <c r="S78" s="123"/>
      <c r="T78" s="83"/>
      <c r="U78" s="124"/>
    </row>
    <row r="79" spans="1:21" ht="27" customHeight="1" thickBot="1">
      <c r="A79" s="133"/>
      <c r="B79" s="134"/>
      <c r="C79" s="134"/>
      <c r="D79" s="134"/>
      <c r="E79" s="134"/>
      <c r="F79" s="134"/>
      <c r="G79" s="134"/>
      <c r="H79" s="134"/>
      <c r="I79" s="134"/>
      <c r="J79" s="134"/>
      <c r="K79" s="134"/>
      <c r="L79" s="134"/>
      <c r="M79" s="134"/>
      <c r="N79" s="134"/>
      <c r="O79" s="134"/>
      <c r="P79" s="134"/>
      <c r="Q79" s="134"/>
      <c r="R79" s="134"/>
      <c r="S79" s="134"/>
      <c r="T79" s="134"/>
      <c r="U79" s="135"/>
    </row>
  </sheetData>
  <sheetProtection formatCells="0" formatColumns="0" formatRows="0" insertColumns="0" insertRows="0" insertHyperlinks="0" deleteColumns="0" deleteRows="0" sort="0" autoFilter="0" pivotTables="0"/>
  <mergeCells count="38">
    <mergeCell ref="C62:D62"/>
    <mergeCell ref="C64:D64"/>
    <mergeCell ref="B76:B77"/>
    <mergeCell ref="C76:D76"/>
    <mergeCell ref="C77:D77"/>
    <mergeCell ref="C63:D63"/>
    <mergeCell ref="C65:D65"/>
    <mergeCell ref="C68:D68"/>
    <mergeCell ref="B67:B69"/>
    <mergeCell ref="C73:D73"/>
    <mergeCell ref="B72:D72"/>
    <mergeCell ref="C67:D67"/>
    <mergeCell ref="C69:D69"/>
    <mergeCell ref="C75:D75"/>
    <mergeCell ref="C74:D74"/>
    <mergeCell ref="B74:B75"/>
    <mergeCell ref="C31:C33"/>
    <mergeCell ref="C34:C36"/>
    <mergeCell ref="B25:B36"/>
    <mergeCell ref="C19:C21"/>
    <mergeCell ref="C22:C24"/>
    <mergeCell ref="B15:B24"/>
    <mergeCell ref="C2:O4"/>
    <mergeCell ref="C66:D66"/>
    <mergeCell ref="C51:C53"/>
    <mergeCell ref="C54:C56"/>
    <mergeCell ref="B47:B56"/>
    <mergeCell ref="C48:C50"/>
    <mergeCell ref="C41:C43"/>
    <mergeCell ref="C44:C46"/>
    <mergeCell ref="B61:D61"/>
    <mergeCell ref="B62:B66"/>
    <mergeCell ref="C12:C14"/>
    <mergeCell ref="C16:C18"/>
    <mergeCell ref="B12:B14"/>
    <mergeCell ref="C26:C30"/>
    <mergeCell ref="C38:C40"/>
    <mergeCell ref="B37:B46"/>
  </mergeCells>
  <conditionalFormatting sqref="F16:G18">
    <cfRule type="cellIs" dxfId="122" priority="70" stopIfTrue="1" operator="notEqual">
      <formula>""</formula>
    </cfRule>
  </conditionalFormatting>
  <conditionalFormatting sqref="F27:G30">
    <cfRule type="cellIs" dxfId="121" priority="69" stopIfTrue="1" operator="notEqual">
      <formula>""</formula>
    </cfRule>
  </conditionalFormatting>
  <conditionalFormatting sqref="F38:G40 F48:G50">
    <cfRule type="cellIs" dxfId="120" priority="68" stopIfTrue="1" operator="notEqual">
      <formula>""</formula>
    </cfRule>
  </conditionalFormatting>
  <conditionalFormatting sqref="C6">
    <cfRule type="cellIs" dxfId="119" priority="61" stopIfTrue="1" operator="notEqual">
      <formula>""</formula>
    </cfRule>
  </conditionalFormatting>
  <conditionalFormatting sqref="C6">
    <cfRule type="expression" dxfId="118" priority="60" stopIfTrue="1">
      <formula>ISBLANK(C6)</formula>
    </cfRule>
  </conditionalFormatting>
  <conditionalFormatting sqref="F45:G46">
    <cfRule type="cellIs" dxfId="117" priority="56" stopIfTrue="1" operator="notEqual">
      <formula>""</formula>
    </cfRule>
  </conditionalFormatting>
  <conditionalFormatting sqref="F42:G43">
    <cfRule type="cellIs" dxfId="116" priority="55" stopIfTrue="1" operator="notEqual">
      <formula>""</formula>
    </cfRule>
  </conditionalFormatting>
  <conditionalFormatting sqref="F35:G36">
    <cfRule type="cellIs" dxfId="115" priority="52" stopIfTrue="1" operator="notEqual">
      <formula>""</formula>
    </cfRule>
  </conditionalFormatting>
  <conditionalFormatting sqref="F32:G33">
    <cfRule type="cellIs" dxfId="114" priority="51" stopIfTrue="1" operator="notEqual">
      <formula>""</formula>
    </cfRule>
  </conditionalFormatting>
  <conditionalFormatting sqref="F23:G24">
    <cfRule type="cellIs" dxfId="113" priority="48" stopIfTrue="1" operator="notEqual">
      <formula>""</formula>
    </cfRule>
  </conditionalFormatting>
  <conditionalFormatting sqref="F20:G21">
    <cfRule type="cellIs" dxfId="112" priority="47" stopIfTrue="1" operator="notEqual">
      <formula>""</formula>
    </cfRule>
  </conditionalFormatting>
  <conditionalFormatting sqref="F55:G56">
    <cfRule type="cellIs" dxfId="111" priority="44" stopIfTrue="1" operator="notEqual">
      <formula>""</formula>
    </cfRule>
  </conditionalFormatting>
  <conditionalFormatting sqref="F52:G53">
    <cfRule type="cellIs" dxfId="110" priority="43" stopIfTrue="1" operator="notEqual">
      <formula>""</formula>
    </cfRule>
  </conditionalFormatting>
  <conditionalFormatting sqref="G76:G77">
    <cfRule type="cellIs" dxfId="109" priority="42" stopIfTrue="1" operator="notEqual">
      <formula>""</formula>
    </cfRule>
  </conditionalFormatting>
  <conditionalFormatting sqref="H71:S71">
    <cfRule type="cellIs" dxfId="108" priority="41" stopIfTrue="1" operator="notEqual">
      <formula>""</formula>
    </cfRule>
  </conditionalFormatting>
  <conditionalFormatting sqref="G74:G75">
    <cfRule type="cellIs" dxfId="107" priority="34" stopIfTrue="1" operator="notEqual">
      <formula>""</formula>
    </cfRule>
  </conditionalFormatting>
  <conditionalFormatting sqref="H70:S70">
    <cfRule type="cellIs" dxfId="106" priority="33" stopIfTrue="1" operator="notEqual">
      <formula>""</formula>
    </cfRule>
  </conditionalFormatting>
  <conditionalFormatting sqref="G69">
    <cfRule type="cellIs" dxfId="105" priority="27" stopIfTrue="1" operator="notEqual">
      <formula>""</formula>
    </cfRule>
  </conditionalFormatting>
  <conditionalFormatting sqref="H78:S78">
    <cfRule type="cellIs" dxfId="104" priority="26" stopIfTrue="1" operator="notEqual">
      <formula>""</formula>
    </cfRule>
  </conditionalFormatting>
  <conditionalFormatting sqref="G68">
    <cfRule type="cellIs" dxfId="103" priority="6" stopIfTrue="1" operator="notEqual">
      <formula>""</formula>
    </cfRule>
  </conditionalFormatting>
  <dataValidations count="9">
    <dataValidation allowBlank="1" showInputMessage="1" showErrorMessage="1" prompt="Please insert a formula to automatically calculate the achievement to date," sqref="F12:G15 F25:G25 F37:G37 F47:G47"/>
    <dataValidation allowBlank="1" showInputMessage="1" showErrorMessage="1" promptTitle="Formula" prompt="This cell contains an automatic calculation._x000a_Modify only if relevant." sqref="F48:G56 F38:G46 F16:G24 F26:G36 G62:G69 G73:G77"/>
    <dataValidation allowBlank="1" showInputMessage="1" showErrorMessage="1" prompt="Last day of the reporting month _x000a_DD/MM/YY" sqref="C6:C7"/>
    <dataValidation allowBlank="1" showInputMessage="1" showErrorMessage="1" promptTitle="In case of amendment" prompt="Please modify the goal (target) and add a comment with the Amendment number and previous goal (target)" sqref="E11:E56"/>
    <dataValidation allowBlank="1" showInputMessage="1" showErrorMessage="1" promptTitle="Gender/Age" prompt="You can add rows if you need to disaggregate indicators (Gender/Age)" sqref="D15:D56"/>
    <dataValidation allowBlank="1" showInputMessage="1" showErrorMessage="1" promptTitle="Network indicators" prompt="Network indicators (Part 3) have to be monitored in part 2" sqref="D11"/>
    <dataValidation allowBlank="1" showInputMessage="1" showErrorMessage="1" promptTitle="Data" prompt="If no  data for a month, for example between Baseline and PDM, please note N/A in the corresponding cell" sqref="H12:S56"/>
    <dataValidation allowBlank="1" showInputMessage="1" showErrorMessage="1" promptTitle="Formula" prompt="This cell contains automatic calculation. Please do not modify." sqref="E62 I62:T62 F62:F69 E67 H67:T67 E73:F73 H73:T73"/>
    <dataValidation allowBlank="1" showInputMessage="1" showErrorMessage="1" prompt="This cell contains automatic calculation. Please do not modify." sqref="F74:F77"/>
  </dataValidations>
  <printOptions horizontalCentered="1" verticalCentered="1"/>
  <pageMargins left="0" right="0" top="0" bottom="0" header="0" footer="0"/>
  <pageSetup paperSize="8" scale="49" orientation="landscape" r:id="rId1"/>
  <headerFooter alignWithMargins="0"/>
  <drawing r:id="rId2"/>
  <extLst>
    <ext xmlns:x14="http://schemas.microsoft.com/office/spreadsheetml/2009/9/main" uri="{78C0D931-6437-407d-A8EE-F0AAD7539E65}">
      <x14:conditionalFormattings>
        <x14:conditionalFormatting xmlns:xm="http://schemas.microsoft.com/office/excel/2006/main">
          <x14:cfRule type="expression" priority="71" id="{1F05180A-059E-49C4-B2F6-595479C96EE3}">
            <xm:f>H$11&gt;'Part 1 - Project Info'!$C$2</xm:f>
            <x14:dxf>
              <fill>
                <patternFill>
                  <bgColor theme="0" tint="-0.14996795556505021"/>
                </patternFill>
              </fill>
            </x14:dxf>
          </x14:cfRule>
          <x14:cfRule type="expression" priority="72" id="{E48948F7-EC3A-472F-AFA8-3DE0F787C3D9}">
            <xm:f>AND(H$11&lt;('Part 1 - Project Info'!$C$2-31),ISBLANK(H12))</xm:f>
            <x14:dxf>
              <fill>
                <patternFill>
                  <bgColor rgb="FFFFFF00"/>
                </patternFill>
              </fill>
            </x14:dxf>
          </x14:cfRule>
          <xm:sqref>H12:S56</xm:sqref>
        </x14:conditionalFormatting>
        <x14:conditionalFormatting xmlns:xm="http://schemas.microsoft.com/office/excel/2006/main">
          <x14:cfRule type="expression" priority="39" stopIfTrue="1" id="{9F753F2A-D265-4865-A969-2636351513E3}">
            <xm:f>H$11&gt;'https://actioncontrelafaim.sharepoint.com/Users/sgerdes/OneDrive - ACTION CONTRE LA FAIM/Bureau/APR_Package_EN/APR_Package_EN/[03 APR Quantitative_ISP3 Indicators - ENGLISH.xlsm]Part 1 - Project Info'!#REF!</xm:f>
            <x14:dxf>
              <fill>
                <patternFill>
                  <bgColor theme="0" tint="-0.14996795556505021"/>
                </patternFill>
              </fill>
            </x14:dxf>
          </x14:cfRule>
          <x14:cfRule type="expression" priority="40" stopIfTrue="1" id="{6FF21331-408C-45C2-8D23-D94FB44D9E38}">
            <xm:f>AND(H$11&lt;('https://actioncontrelafaim.sharepoint.com/Users/sgerdes/OneDrive - ACTION CONTRE LA FAIM/Bureau/APR_Package_EN/APR_Package_EN/[03 APR Quantitative_ISP3 Indicators - ENGLISH.xlsm]Part 1 - Project Info'!#REF!-31),ISBLANK(I74))</xm:f>
            <x14:dxf>
              <fill>
                <patternFill>
                  <bgColor rgb="FFFFFF00"/>
                </patternFill>
              </fill>
            </x14:dxf>
          </x14:cfRule>
          <xm:sqref>I74:T77</xm:sqref>
        </x14:conditionalFormatting>
        <x14:conditionalFormatting xmlns:xm="http://schemas.microsoft.com/office/excel/2006/main">
          <x14:cfRule type="expression" priority="12" stopIfTrue="1" id="{280423F1-3635-4A03-A8CC-1D8D6DD0C61D}">
            <xm:f>H$11&gt;'Part 1 - Project Info'!$C$2</xm:f>
            <x14:dxf>
              <fill>
                <patternFill>
                  <bgColor theme="0" tint="-0.14996795556505021"/>
                </patternFill>
              </fill>
            </x14:dxf>
          </x14:cfRule>
          <x14:cfRule type="expression" priority="13" stopIfTrue="1" id="{22C0B1E7-51C5-4C4D-AA65-96DD587D65A1}">
            <xm:f>AND(H$11&lt;('Part 1 - Project Info'!$C$2-31),ISBLANK(I66))</xm:f>
            <x14:dxf>
              <fill>
                <patternFill>
                  <bgColor rgb="FFFFFF00"/>
                </patternFill>
              </fill>
            </x14:dxf>
          </x14:cfRule>
          <xm:sqref>I66:T66</xm:sqref>
        </x14:conditionalFormatting>
        <x14:conditionalFormatting xmlns:xm="http://schemas.microsoft.com/office/excel/2006/main">
          <x14:cfRule type="expression" priority="2" stopIfTrue="1" id="{D5074EA2-1519-4C1F-9AB8-EA2D4AC186BA}">
            <xm:f>H$11&gt;'Part 1 - Project Info'!$C$2</xm:f>
            <x14:dxf>
              <fill>
                <patternFill>
                  <bgColor theme="0" tint="-0.14996795556505021"/>
                </patternFill>
              </fill>
            </x14:dxf>
          </x14:cfRule>
          <x14:cfRule type="expression" priority="3" stopIfTrue="1" id="{254FCB21-8D5B-45D5-B91D-D966FD1E523C}">
            <xm:f>AND(H$11&lt;('Part 1 - Project Info'!$C$2-31),ISBLANK(I69))</xm:f>
            <x14:dxf>
              <fill>
                <patternFill>
                  <bgColor rgb="FFFFFF00"/>
                </patternFill>
              </fill>
            </x14:dxf>
          </x14:cfRule>
          <xm:sqref>I69:T69</xm:sqref>
        </x14:conditionalFormatting>
        <x14:conditionalFormatting xmlns:xm="http://schemas.microsoft.com/office/excel/2006/main">
          <x14:cfRule type="expression" priority="18" stopIfTrue="1" id="{CF9E806E-9ABD-447E-9348-1F2024542F79}">
            <xm:f>H$11&gt;'Part 1 - Project Info'!$C$2</xm:f>
            <x14:dxf>
              <fill>
                <patternFill>
                  <bgColor theme="0" tint="-0.14996795556505021"/>
                </patternFill>
              </fill>
            </x14:dxf>
          </x14:cfRule>
          <x14:cfRule type="expression" priority="19" stopIfTrue="1" id="{5D7CD48D-97FE-47E1-ADBF-20B5091F3B1F}">
            <xm:f>AND(H$11&lt;('Part 1 - Project Info'!$C$2-31),ISBLANK(I63))</xm:f>
            <x14:dxf>
              <fill>
                <patternFill>
                  <bgColor rgb="FFFFFF00"/>
                </patternFill>
              </fill>
            </x14:dxf>
          </x14:cfRule>
          <xm:sqref>I63:T63</xm:sqref>
        </x14:conditionalFormatting>
        <x14:conditionalFormatting xmlns:xm="http://schemas.microsoft.com/office/excel/2006/main">
          <x14:cfRule type="expression" priority="16" stopIfTrue="1" id="{2830942E-8FCD-44C7-9E3E-8A342033FC60}">
            <xm:f>H$11&gt;'Part 1 - Project Info'!$C$2</xm:f>
            <x14:dxf>
              <fill>
                <patternFill>
                  <bgColor theme="0" tint="-0.14996795556505021"/>
                </patternFill>
              </fill>
            </x14:dxf>
          </x14:cfRule>
          <x14:cfRule type="expression" priority="17" stopIfTrue="1" id="{AB0C92C2-43C0-4FB1-870F-54F14E1C8CAB}">
            <xm:f>AND(H$11&lt;('Part 1 - Project Info'!$C$2-31),ISBLANK(I64))</xm:f>
            <x14:dxf>
              <fill>
                <patternFill>
                  <bgColor rgb="FFFFFF00"/>
                </patternFill>
              </fill>
            </x14:dxf>
          </x14:cfRule>
          <xm:sqref>I64:T64</xm:sqref>
        </x14:conditionalFormatting>
        <x14:conditionalFormatting xmlns:xm="http://schemas.microsoft.com/office/excel/2006/main">
          <x14:cfRule type="expression" priority="14" stopIfTrue="1" id="{B4E95F9A-C6CF-4AF1-B245-07DFB8236AE1}">
            <xm:f>H$11&gt;'Part 1 - Project Info'!$C$2</xm:f>
            <x14:dxf>
              <fill>
                <patternFill>
                  <bgColor theme="0" tint="-0.14996795556505021"/>
                </patternFill>
              </fill>
            </x14:dxf>
          </x14:cfRule>
          <x14:cfRule type="expression" priority="15" stopIfTrue="1" id="{504CD3BD-4FF0-42AB-9A8E-DBA4C25D681B}">
            <xm:f>AND(H$11&lt;('Part 1 - Project Info'!$C$2-31),ISBLANK(I65))</xm:f>
            <x14:dxf>
              <fill>
                <patternFill>
                  <bgColor rgb="FFFFFF00"/>
                </patternFill>
              </fill>
            </x14:dxf>
          </x14:cfRule>
          <xm:sqref>I65:T65</xm:sqref>
        </x14:conditionalFormatting>
        <x14:conditionalFormatting xmlns:xm="http://schemas.microsoft.com/office/excel/2006/main">
          <x14:cfRule type="expression" priority="4" stopIfTrue="1" id="{EA1C6765-C1C3-41FE-86E3-228DCCCDE12C}">
            <xm:f>H$11&gt;'Part 1 - Project Info'!$C$2</xm:f>
            <x14:dxf>
              <fill>
                <patternFill>
                  <bgColor theme="0" tint="-0.14996795556505021"/>
                </patternFill>
              </fill>
            </x14:dxf>
          </x14:cfRule>
          <x14:cfRule type="expression" priority="5" stopIfTrue="1" id="{E5FA79AD-3876-47B7-BC08-559FFC51644F}">
            <xm:f>AND(H$11&lt;('Part 1 - Project Info'!$C$2-31),ISBLANK(I68))</xm:f>
            <x14:dxf>
              <fill>
                <patternFill>
                  <bgColor rgb="FFFFFF00"/>
                </patternFill>
              </fill>
            </x14:dxf>
          </x14:cfRule>
          <xm:sqref>I68:T68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Z79"/>
  <sheetViews>
    <sheetView showGridLines="0" topLeftCell="A39" zoomScale="55" zoomScaleNormal="55" zoomScaleSheetLayoutView="50" workbookViewId="0">
      <selection activeCell="F48" sqref="F48"/>
    </sheetView>
  </sheetViews>
  <sheetFormatPr defaultColWidth="9.26953125" defaultRowHeight="12.5"/>
  <cols>
    <col min="1" max="1" width="6.26953125" style="2" customWidth="1"/>
    <col min="2" max="2" width="65.453125" style="2" customWidth="1"/>
    <col min="3" max="3" width="35.7265625" style="2" customWidth="1"/>
    <col min="4" max="4" width="34" style="2" customWidth="1"/>
    <col min="5" max="6" width="17.7265625" style="2" customWidth="1"/>
    <col min="7" max="7" width="15.7265625" style="2" customWidth="1"/>
    <col min="8" max="8" width="18.453125" style="2" customWidth="1"/>
    <col min="9" max="19" width="15.7265625" style="2" customWidth="1"/>
    <col min="20" max="20" width="15.453125" style="2" customWidth="1"/>
    <col min="21" max="21" width="9.26953125" style="2" customWidth="1"/>
    <col min="22" max="22" width="9.26953125" style="25" customWidth="1"/>
    <col min="23" max="23" width="18.453125" style="25" customWidth="1"/>
    <col min="24" max="24" width="30" style="25" customWidth="1"/>
    <col min="25" max="26" width="9.26953125" style="25"/>
    <col min="27" max="16384" width="9.26953125" style="2"/>
  </cols>
  <sheetData>
    <row r="1" spans="1:26" ht="32.25" customHeight="1" thickBot="1">
      <c r="A1" s="1"/>
      <c r="B1" s="27"/>
      <c r="C1" s="28"/>
      <c r="D1" s="29"/>
      <c r="E1" s="29"/>
      <c r="F1" s="29"/>
      <c r="G1" s="29"/>
      <c r="H1" s="29"/>
      <c r="I1" s="30"/>
      <c r="J1" s="30"/>
      <c r="K1" s="30"/>
      <c r="L1" s="30"/>
      <c r="M1" s="30"/>
      <c r="N1" s="30"/>
      <c r="O1" s="30"/>
      <c r="P1" s="30"/>
      <c r="Q1" s="30"/>
      <c r="R1" s="30"/>
      <c r="S1" s="30"/>
      <c r="T1" s="29"/>
      <c r="U1" s="31"/>
    </row>
    <row r="2" spans="1:26" ht="30" customHeight="1">
      <c r="A2" s="3"/>
      <c r="B2" s="13"/>
      <c r="C2" s="399" t="s">
        <v>193</v>
      </c>
      <c r="D2" s="400"/>
      <c r="E2" s="400"/>
      <c r="F2" s="400"/>
      <c r="G2" s="400"/>
      <c r="H2" s="400"/>
      <c r="I2" s="400"/>
      <c r="J2" s="400"/>
      <c r="K2" s="400"/>
      <c r="L2" s="400"/>
      <c r="M2" s="400"/>
      <c r="N2" s="400"/>
      <c r="O2" s="401"/>
      <c r="P2" s="8"/>
      <c r="Q2" s="8"/>
      <c r="R2" s="8"/>
      <c r="S2" s="8"/>
      <c r="T2" s="8"/>
      <c r="U2" s="4"/>
    </row>
    <row r="3" spans="1:26" ht="30" customHeight="1">
      <c r="A3" s="3"/>
      <c r="B3" s="13"/>
      <c r="C3" s="417"/>
      <c r="D3" s="418"/>
      <c r="E3" s="418"/>
      <c r="F3" s="418"/>
      <c r="G3" s="418"/>
      <c r="H3" s="418"/>
      <c r="I3" s="418"/>
      <c r="J3" s="418"/>
      <c r="K3" s="418"/>
      <c r="L3" s="418"/>
      <c r="M3" s="418"/>
      <c r="N3" s="418"/>
      <c r="O3" s="479"/>
      <c r="P3" s="8"/>
      <c r="Q3" s="8"/>
      <c r="R3" s="8"/>
      <c r="S3" s="8"/>
      <c r="T3" s="8"/>
      <c r="U3" s="4"/>
    </row>
    <row r="4" spans="1:26" s="7" customFormat="1" ht="30" customHeight="1" thickBot="1">
      <c r="A4" s="5"/>
      <c r="B4" s="13"/>
      <c r="C4" s="402"/>
      <c r="D4" s="403"/>
      <c r="E4" s="403"/>
      <c r="F4" s="403"/>
      <c r="G4" s="403"/>
      <c r="H4" s="403"/>
      <c r="I4" s="403"/>
      <c r="J4" s="403"/>
      <c r="K4" s="403"/>
      <c r="L4" s="403"/>
      <c r="M4" s="403"/>
      <c r="N4" s="403"/>
      <c r="O4" s="404"/>
      <c r="P4" s="8"/>
      <c r="Q4" s="8"/>
      <c r="R4" s="8"/>
      <c r="S4" s="8"/>
      <c r="T4" s="191"/>
      <c r="U4" s="6"/>
      <c r="V4" s="26"/>
      <c r="W4" s="26"/>
      <c r="X4" s="26"/>
      <c r="Y4" s="26"/>
      <c r="Z4" s="26"/>
    </row>
    <row r="5" spans="1:26" s="78" customFormat="1" ht="13.5" customHeight="1">
      <c r="A5" s="74"/>
      <c r="B5" s="75"/>
      <c r="C5" s="75"/>
      <c r="D5" s="75"/>
      <c r="E5" s="75"/>
      <c r="F5" s="75"/>
      <c r="G5" s="76"/>
      <c r="H5" s="76"/>
      <c r="I5" s="76"/>
      <c r="J5" s="76"/>
      <c r="K5" s="76"/>
      <c r="L5" s="76"/>
      <c r="M5" s="76"/>
      <c r="N5" s="76"/>
      <c r="O5" s="76"/>
      <c r="P5" s="76"/>
      <c r="Q5" s="76"/>
      <c r="R5" s="76"/>
      <c r="S5" s="76"/>
      <c r="T5" s="76"/>
      <c r="U5" s="77"/>
      <c r="V5" s="136"/>
      <c r="W5" s="136"/>
      <c r="X5" s="136"/>
      <c r="Y5" s="136"/>
      <c r="Z5" s="136"/>
    </row>
    <row r="6" spans="1:26" s="78" customFormat="1" ht="14">
      <c r="A6" s="74"/>
      <c r="B6" s="79" t="s">
        <v>1</v>
      </c>
      <c r="C6" s="171">
        <f>'Part 1 - Project Info'!C2</f>
        <v>45596</v>
      </c>
      <c r="D6" s="76"/>
      <c r="E6" s="76"/>
      <c r="F6" s="76"/>
      <c r="G6" s="76"/>
      <c r="H6" s="76"/>
      <c r="I6" s="76"/>
      <c r="J6" s="76"/>
      <c r="K6" s="76"/>
      <c r="L6" s="76"/>
      <c r="M6" s="76"/>
      <c r="N6" s="76"/>
      <c r="O6" s="76"/>
      <c r="P6" s="76"/>
      <c r="Q6" s="76"/>
      <c r="R6" s="76"/>
      <c r="S6" s="76"/>
      <c r="T6" s="76"/>
      <c r="U6" s="77"/>
      <c r="V6" s="136"/>
      <c r="W6" s="136"/>
      <c r="X6" s="136"/>
      <c r="Y6" s="136"/>
      <c r="Z6" s="136"/>
    </row>
    <row r="7" spans="1:26" s="78" customFormat="1" ht="14">
      <c r="A7" s="74"/>
      <c r="B7" s="76"/>
      <c r="C7" s="76"/>
      <c r="D7" s="76"/>
      <c r="E7" s="76"/>
      <c r="F7" s="76"/>
      <c r="G7" s="76"/>
      <c r="H7" s="76"/>
      <c r="I7" s="76"/>
      <c r="J7" s="76"/>
      <c r="K7" s="76"/>
      <c r="L7" s="76"/>
      <c r="M7" s="76"/>
      <c r="N7" s="76"/>
      <c r="O7" s="76"/>
      <c r="P7" s="76"/>
      <c r="Q7" s="76"/>
      <c r="R7" s="76"/>
      <c r="S7" s="76"/>
      <c r="T7" s="76"/>
      <c r="U7" s="77"/>
      <c r="V7" s="136"/>
      <c r="W7" s="136"/>
      <c r="X7" s="136"/>
      <c r="Y7" s="136"/>
      <c r="Z7" s="136"/>
    </row>
    <row r="8" spans="1:26" s="78" customFormat="1" ht="32.25" customHeight="1">
      <c r="A8" s="74"/>
      <c r="B8" s="24" t="s">
        <v>50</v>
      </c>
      <c r="C8" s="81"/>
      <c r="D8" s="82"/>
      <c r="E8" s="81"/>
      <c r="F8" s="81"/>
      <c r="G8" s="76"/>
      <c r="H8" s="76"/>
      <c r="I8" s="76"/>
      <c r="J8" s="76"/>
      <c r="K8" s="76"/>
      <c r="L8" s="83"/>
      <c r="M8" s="83"/>
      <c r="N8" s="83"/>
      <c r="O8" s="83"/>
      <c r="P8" s="83"/>
      <c r="Q8" s="83"/>
      <c r="R8" s="83"/>
      <c r="S8" s="83"/>
      <c r="T8" s="76"/>
      <c r="U8" s="77"/>
    </row>
    <row r="9" spans="1:26" s="78" customFormat="1" ht="12" customHeight="1">
      <c r="A9" s="74"/>
      <c r="B9" s="84" t="s">
        <v>51</v>
      </c>
      <c r="C9" s="81"/>
      <c r="D9" s="82"/>
      <c r="E9" s="81"/>
      <c r="F9" s="81"/>
      <c r="G9" s="81"/>
      <c r="H9" s="84"/>
      <c r="I9" s="84"/>
      <c r="J9" s="84"/>
      <c r="K9" s="84"/>
      <c r="L9" s="83"/>
      <c r="M9" s="83"/>
      <c r="N9" s="83"/>
      <c r="O9" s="83"/>
      <c r="P9" s="83"/>
      <c r="Q9" s="83"/>
      <c r="R9" s="83"/>
      <c r="S9" s="83"/>
      <c r="T9" s="76"/>
      <c r="U9" s="77"/>
    </row>
    <row r="10" spans="1:26" s="78" customFormat="1" ht="23.25" customHeight="1" thickBot="1">
      <c r="A10" s="74"/>
      <c r="B10" s="85" t="s">
        <v>52</v>
      </c>
      <c r="C10" s="81"/>
      <c r="D10" s="82"/>
      <c r="E10" s="81"/>
      <c r="F10" s="81"/>
      <c r="G10" s="81"/>
      <c r="H10" s="84"/>
      <c r="I10" s="84"/>
      <c r="J10" s="84"/>
      <c r="K10" s="84"/>
      <c r="L10" s="83"/>
      <c r="M10" s="83"/>
      <c r="N10" s="83"/>
      <c r="O10" s="83"/>
      <c r="P10" s="83"/>
      <c r="Q10" s="83"/>
      <c r="R10" s="83"/>
      <c r="S10" s="83"/>
      <c r="T10" s="76"/>
      <c r="U10" s="77"/>
    </row>
    <row r="11" spans="1:26" s="78" customFormat="1" ht="59.25" customHeight="1" thickBot="1">
      <c r="A11" s="74"/>
      <c r="B11" s="86" t="s">
        <v>53</v>
      </c>
      <c r="C11" s="137" t="s">
        <v>62</v>
      </c>
      <c r="D11" s="87" t="s">
        <v>54</v>
      </c>
      <c r="E11" s="188" t="s">
        <v>55</v>
      </c>
      <c r="F11" s="89" t="s">
        <v>56</v>
      </c>
      <c r="G11" s="90" t="s">
        <v>57</v>
      </c>
      <c r="H11" s="91">
        <v>44562</v>
      </c>
      <c r="I11" s="92">
        <v>44593</v>
      </c>
      <c r="J11" s="185">
        <v>44621</v>
      </c>
      <c r="K11" s="92">
        <v>44652</v>
      </c>
      <c r="L11" s="185">
        <v>44682</v>
      </c>
      <c r="M11" s="92">
        <v>44713</v>
      </c>
      <c r="N11" s="185">
        <v>44743</v>
      </c>
      <c r="O11" s="92">
        <v>44774</v>
      </c>
      <c r="P11" s="185">
        <v>44805</v>
      </c>
      <c r="Q11" s="92">
        <v>44835</v>
      </c>
      <c r="R11" s="185">
        <v>44866</v>
      </c>
      <c r="S11" s="186">
        <v>44896</v>
      </c>
      <c r="T11" s="76"/>
      <c r="U11" s="77"/>
    </row>
    <row r="12" spans="1:26" s="78" customFormat="1" ht="70.5" customHeight="1" thickBot="1">
      <c r="A12" s="74"/>
      <c r="B12" s="189" t="s">
        <v>194</v>
      </c>
      <c r="C12" s="187"/>
      <c r="D12" s="260" t="s">
        <v>195</v>
      </c>
      <c r="E12" s="105"/>
      <c r="F12" s="106"/>
      <c r="G12" s="107"/>
      <c r="H12" s="108"/>
      <c r="I12" s="109"/>
      <c r="J12" s="109"/>
      <c r="K12" s="109"/>
      <c r="L12" s="109"/>
      <c r="M12" s="109"/>
      <c r="N12" s="109"/>
      <c r="O12" s="109"/>
      <c r="P12" s="109"/>
      <c r="Q12" s="109"/>
      <c r="R12" s="109"/>
      <c r="S12" s="110"/>
      <c r="T12" s="76"/>
      <c r="U12" s="77"/>
    </row>
    <row r="13" spans="1:26" s="78" customFormat="1" ht="42">
      <c r="A13" s="74"/>
      <c r="B13" s="529" t="s">
        <v>196</v>
      </c>
      <c r="C13" s="111"/>
      <c r="D13" s="118" t="s">
        <v>197</v>
      </c>
      <c r="E13" s="93"/>
      <c r="F13" s="94"/>
      <c r="G13" s="112"/>
      <c r="H13" s="96"/>
      <c r="I13" s="97"/>
      <c r="J13" s="97"/>
      <c r="K13" s="97"/>
      <c r="L13" s="97"/>
      <c r="M13" s="97"/>
      <c r="N13" s="97"/>
      <c r="O13" s="97"/>
      <c r="P13" s="97"/>
      <c r="Q13" s="97"/>
      <c r="R13" s="97"/>
      <c r="S13" s="98"/>
      <c r="T13" s="76"/>
      <c r="U13" s="77"/>
    </row>
    <row r="14" spans="1:26" s="78" customFormat="1" ht="28">
      <c r="A14" s="74"/>
      <c r="B14" s="530"/>
      <c r="C14" s="500" t="s">
        <v>198</v>
      </c>
      <c r="D14" s="173" t="s">
        <v>199</v>
      </c>
      <c r="E14" s="99"/>
      <c r="F14" s="115" t="str">
        <f>IF(ISBLANK(H14),"",SUM(H14:S14))</f>
        <v/>
      </c>
      <c r="G14" s="116" t="str">
        <f>IF(ISBLANK(E14),"",F14/E14)</f>
        <v/>
      </c>
      <c r="H14" s="102"/>
      <c r="I14" s="103"/>
      <c r="J14" s="103"/>
      <c r="K14" s="103"/>
      <c r="L14" s="103"/>
      <c r="M14" s="103"/>
      <c r="N14" s="103"/>
      <c r="O14" s="103"/>
      <c r="P14" s="103"/>
      <c r="Q14" s="103"/>
      <c r="R14" s="103"/>
      <c r="S14" s="104"/>
      <c r="T14" s="76"/>
      <c r="U14" s="77"/>
    </row>
    <row r="15" spans="1:26" s="78" customFormat="1" ht="28">
      <c r="A15" s="74"/>
      <c r="B15" s="530"/>
      <c r="C15" s="500"/>
      <c r="D15" s="173" t="s">
        <v>200</v>
      </c>
      <c r="E15" s="99"/>
      <c r="F15" s="115" t="str">
        <f t="shared" ref="F15:F16" si="0">IF(ISBLANK(H15),"",SUM(H15:S15))</f>
        <v/>
      </c>
      <c r="G15" s="116" t="str">
        <f t="shared" ref="G15:G16" si="1">IF(ISBLANK(E15),"",F15/E15)</f>
        <v/>
      </c>
      <c r="H15" s="102"/>
      <c r="I15" s="103"/>
      <c r="J15" s="103"/>
      <c r="K15" s="103"/>
      <c r="L15" s="103"/>
      <c r="M15" s="103"/>
      <c r="N15" s="103"/>
      <c r="O15" s="103"/>
      <c r="P15" s="103"/>
      <c r="Q15" s="103"/>
      <c r="R15" s="103"/>
      <c r="S15" s="104"/>
      <c r="T15" s="76"/>
      <c r="U15" s="77"/>
    </row>
    <row r="16" spans="1:26" s="78" customFormat="1" ht="28.5" thickBot="1">
      <c r="A16" s="74"/>
      <c r="B16" s="530"/>
      <c r="C16" s="501"/>
      <c r="D16" s="174" t="s">
        <v>102</v>
      </c>
      <c r="E16" s="105"/>
      <c r="F16" s="115" t="str">
        <f t="shared" si="0"/>
        <v/>
      </c>
      <c r="G16" s="116" t="str">
        <f t="shared" si="1"/>
        <v/>
      </c>
      <c r="H16" s="108"/>
      <c r="I16" s="109"/>
      <c r="J16" s="109"/>
      <c r="K16" s="109"/>
      <c r="L16" s="109"/>
      <c r="M16" s="109"/>
      <c r="N16" s="109"/>
      <c r="O16" s="109"/>
      <c r="P16" s="109"/>
      <c r="Q16" s="109"/>
      <c r="R16" s="109"/>
      <c r="S16" s="110"/>
      <c r="T16" s="76"/>
      <c r="U16" s="77"/>
    </row>
    <row r="17" spans="1:21" s="78" customFormat="1" ht="24" customHeight="1">
      <c r="A17" s="74"/>
      <c r="B17" s="530"/>
      <c r="C17" s="502" t="s">
        <v>103</v>
      </c>
      <c r="D17" s="181" t="s">
        <v>104</v>
      </c>
      <c r="E17" s="93"/>
      <c r="F17" s="141" t="str">
        <f>IF(ISBLANK(H17),"",SUM(H17:S17))</f>
        <v/>
      </c>
      <c r="G17" s="180" t="str">
        <f>IF(ISBLANK(E17),"",F17/E17)</f>
        <v/>
      </c>
      <c r="H17" s="96"/>
      <c r="I17" s="97"/>
      <c r="J17" s="97"/>
      <c r="K17" s="97"/>
      <c r="L17" s="97"/>
      <c r="M17" s="97"/>
      <c r="N17" s="97"/>
      <c r="O17" s="97"/>
      <c r="P17" s="97"/>
      <c r="Q17" s="97"/>
      <c r="R17" s="97"/>
      <c r="S17" s="98"/>
      <c r="T17" s="76"/>
      <c r="U17" s="77"/>
    </row>
    <row r="18" spans="1:21" s="78" customFormat="1" ht="24" customHeight="1">
      <c r="A18" s="74"/>
      <c r="B18" s="530"/>
      <c r="C18" s="503"/>
      <c r="D18" s="173" t="s">
        <v>105</v>
      </c>
      <c r="E18" s="99"/>
      <c r="F18" s="115" t="str">
        <f t="shared" ref="F18:F19" si="2">IF(ISBLANK(H18),"",SUM(H18:S18))</f>
        <v/>
      </c>
      <c r="G18" s="116" t="str">
        <f t="shared" ref="G18:G19" si="3">IF(ISBLANK(E18),"",F18/E18)</f>
        <v/>
      </c>
      <c r="H18" s="102"/>
      <c r="I18" s="103"/>
      <c r="J18" s="103"/>
      <c r="K18" s="103"/>
      <c r="L18" s="103"/>
      <c r="M18" s="103"/>
      <c r="N18" s="103"/>
      <c r="O18" s="103"/>
      <c r="P18" s="103"/>
      <c r="Q18" s="103"/>
      <c r="R18" s="103"/>
      <c r="S18" s="104"/>
      <c r="T18" s="76"/>
      <c r="U18" s="77"/>
    </row>
    <row r="19" spans="1:21" s="78" customFormat="1" ht="24" customHeight="1" thickBot="1">
      <c r="A19" s="74"/>
      <c r="B19" s="530"/>
      <c r="C19" s="504"/>
      <c r="D19" s="117" t="s">
        <v>106</v>
      </c>
      <c r="E19" s="105"/>
      <c r="F19" s="119" t="str">
        <f t="shared" si="2"/>
        <v/>
      </c>
      <c r="G19" s="120" t="str">
        <f t="shared" si="3"/>
        <v/>
      </c>
      <c r="H19" s="108"/>
      <c r="I19" s="109"/>
      <c r="J19" s="109"/>
      <c r="K19" s="109"/>
      <c r="L19" s="109"/>
      <c r="M19" s="109"/>
      <c r="N19" s="109"/>
      <c r="O19" s="109"/>
      <c r="P19" s="109"/>
      <c r="Q19" s="109"/>
      <c r="R19" s="109"/>
      <c r="S19" s="110"/>
      <c r="T19" s="76"/>
      <c r="U19" s="77"/>
    </row>
    <row r="20" spans="1:21" s="78" customFormat="1" ht="24" customHeight="1">
      <c r="A20" s="74"/>
      <c r="B20" s="530"/>
      <c r="C20" s="502" t="s">
        <v>107</v>
      </c>
      <c r="D20" s="181" t="s">
        <v>108</v>
      </c>
      <c r="E20" s="93"/>
      <c r="F20" s="141" t="str">
        <f>IF(ISBLANK(H20),"",SUM(H20:S20))</f>
        <v/>
      </c>
      <c r="G20" s="180" t="str">
        <f>IF(ISBLANK(E20),"",F20/E20)</f>
        <v/>
      </c>
      <c r="H20" s="96"/>
      <c r="I20" s="97"/>
      <c r="J20" s="97"/>
      <c r="K20" s="97"/>
      <c r="L20" s="97"/>
      <c r="M20" s="97"/>
      <c r="N20" s="97"/>
      <c r="O20" s="97"/>
      <c r="P20" s="97"/>
      <c r="Q20" s="97"/>
      <c r="R20" s="97"/>
      <c r="S20" s="98"/>
      <c r="T20" s="76"/>
      <c r="U20" s="77"/>
    </row>
    <row r="21" spans="1:21" s="78" customFormat="1" ht="24" customHeight="1">
      <c r="A21" s="74"/>
      <c r="B21" s="530"/>
      <c r="C21" s="503"/>
      <c r="D21" s="173" t="s">
        <v>109</v>
      </c>
      <c r="E21" s="99"/>
      <c r="F21" s="115" t="str">
        <f t="shared" ref="F21:F22" si="4">IF(ISBLANK(H21),"",SUM(H21:S21))</f>
        <v/>
      </c>
      <c r="G21" s="116" t="str">
        <f t="shared" ref="G21:G22" si="5">IF(ISBLANK(E21),"",F21/E21)</f>
        <v/>
      </c>
      <c r="H21" s="102"/>
      <c r="I21" s="103"/>
      <c r="J21" s="103"/>
      <c r="K21" s="103"/>
      <c r="L21" s="103"/>
      <c r="M21" s="103"/>
      <c r="N21" s="103"/>
      <c r="O21" s="103"/>
      <c r="P21" s="103"/>
      <c r="Q21" s="103"/>
      <c r="R21" s="103"/>
      <c r="S21" s="104"/>
      <c r="T21" s="76"/>
      <c r="U21" s="77"/>
    </row>
    <row r="22" spans="1:21" s="78" customFormat="1" ht="24" customHeight="1" thickBot="1">
      <c r="A22" s="74"/>
      <c r="B22" s="531"/>
      <c r="C22" s="504"/>
      <c r="D22" s="117" t="s">
        <v>110</v>
      </c>
      <c r="E22" s="105"/>
      <c r="F22" s="119" t="str">
        <f t="shared" si="4"/>
        <v/>
      </c>
      <c r="G22" s="120" t="str">
        <f t="shared" si="5"/>
        <v/>
      </c>
      <c r="H22" s="108"/>
      <c r="I22" s="109"/>
      <c r="J22" s="109"/>
      <c r="K22" s="109"/>
      <c r="L22" s="109"/>
      <c r="M22" s="109"/>
      <c r="N22" s="109"/>
      <c r="O22" s="109"/>
      <c r="P22" s="109"/>
      <c r="Q22" s="109"/>
      <c r="R22" s="109"/>
      <c r="S22" s="110"/>
      <c r="T22" s="76"/>
      <c r="U22" s="77"/>
    </row>
    <row r="23" spans="1:21" s="78" customFormat="1" ht="28.5" customHeight="1">
      <c r="A23" s="74"/>
      <c r="B23" s="529" t="s">
        <v>201</v>
      </c>
      <c r="C23" s="111"/>
      <c r="D23" s="118" t="s">
        <v>111</v>
      </c>
      <c r="E23" s="93"/>
      <c r="F23" s="94"/>
      <c r="G23" s="95"/>
      <c r="H23" s="96"/>
      <c r="I23" s="97"/>
      <c r="J23" s="97"/>
      <c r="K23" s="97"/>
      <c r="L23" s="97"/>
      <c r="M23" s="97"/>
      <c r="N23" s="97"/>
      <c r="O23" s="97"/>
      <c r="P23" s="97"/>
      <c r="Q23" s="97"/>
      <c r="R23" s="97"/>
      <c r="S23" s="98"/>
      <c r="T23" s="76"/>
      <c r="U23" s="77"/>
    </row>
    <row r="24" spans="1:21" s="78" customFormat="1" ht="28">
      <c r="A24" s="74"/>
      <c r="B24" s="530"/>
      <c r="C24" s="500" t="s">
        <v>101</v>
      </c>
      <c r="D24" s="173" t="s">
        <v>202</v>
      </c>
      <c r="E24" s="99"/>
      <c r="F24" s="115" t="str">
        <f>IF(ISBLANK(H24),"",SUM(H24:S24))</f>
        <v/>
      </c>
      <c r="G24" s="116" t="str">
        <f>IF(ISBLANK(E24),"",F24/E24)</f>
        <v/>
      </c>
      <c r="H24" s="102"/>
      <c r="I24" s="103"/>
      <c r="J24" s="103"/>
      <c r="K24" s="103"/>
      <c r="L24" s="103"/>
      <c r="M24" s="103"/>
      <c r="N24" s="103"/>
      <c r="O24" s="103"/>
      <c r="P24" s="103"/>
      <c r="Q24" s="103"/>
      <c r="R24" s="103"/>
      <c r="S24" s="104"/>
      <c r="T24" s="76"/>
      <c r="U24" s="77"/>
    </row>
    <row r="25" spans="1:21" s="78" customFormat="1" ht="28">
      <c r="A25" s="74"/>
      <c r="B25" s="530"/>
      <c r="C25" s="500"/>
      <c r="D25" s="173" t="s">
        <v>203</v>
      </c>
      <c r="E25" s="99"/>
      <c r="F25" s="115" t="str">
        <f t="shared" ref="F25:F26" si="6">IF(ISBLANK(H25),"",SUM(H25:S25))</f>
        <v/>
      </c>
      <c r="G25" s="116" t="str">
        <f t="shared" ref="G25:G26" si="7">IF(ISBLANK(E25),"",F25/E25)</f>
        <v/>
      </c>
      <c r="H25" s="102"/>
      <c r="I25" s="103"/>
      <c r="J25" s="103"/>
      <c r="K25" s="103"/>
      <c r="L25" s="103"/>
      <c r="M25" s="103"/>
      <c r="N25" s="103"/>
      <c r="O25" s="103"/>
      <c r="P25" s="103"/>
      <c r="Q25" s="103"/>
      <c r="R25" s="103"/>
      <c r="S25" s="104"/>
      <c r="T25" s="76"/>
      <c r="U25" s="77"/>
    </row>
    <row r="26" spans="1:21" s="78" customFormat="1" ht="28.5" thickBot="1">
      <c r="A26" s="74"/>
      <c r="B26" s="530"/>
      <c r="C26" s="501"/>
      <c r="D26" s="117" t="s">
        <v>204</v>
      </c>
      <c r="E26" s="105"/>
      <c r="F26" s="115" t="str">
        <f t="shared" si="6"/>
        <v/>
      </c>
      <c r="G26" s="116" t="str">
        <f t="shared" si="7"/>
        <v/>
      </c>
      <c r="H26" s="108"/>
      <c r="I26" s="109"/>
      <c r="J26" s="109"/>
      <c r="K26" s="109"/>
      <c r="L26" s="109"/>
      <c r="M26" s="109"/>
      <c r="N26" s="109"/>
      <c r="O26" s="109"/>
      <c r="P26" s="109"/>
      <c r="Q26" s="109"/>
      <c r="R26" s="109"/>
      <c r="S26" s="110"/>
      <c r="T26" s="76"/>
      <c r="U26" s="77"/>
    </row>
    <row r="27" spans="1:21" s="78" customFormat="1" ht="24" customHeight="1">
      <c r="A27" s="74"/>
      <c r="B27" s="530"/>
      <c r="C27" s="502" t="s">
        <v>112</v>
      </c>
      <c r="D27" s="118" t="s">
        <v>149</v>
      </c>
      <c r="E27" s="93"/>
      <c r="F27" s="141" t="str">
        <f>IF(ISBLANK(H27),"",SUM(H27:S27))</f>
        <v/>
      </c>
      <c r="G27" s="180" t="str">
        <f>IF(ISBLANK(E27),"",F27/E27)</f>
        <v/>
      </c>
      <c r="H27" s="96"/>
      <c r="I27" s="97"/>
      <c r="J27" s="97"/>
      <c r="K27" s="97"/>
      <c r="L27" s="97"/>
      <c r="M27" s="97"/>
      <c r="N27" s="97"/>
      <c r="O27" s="97"/>
      <c r="P27" s="97"/>
      <c r="Q27" s="97"/>
      <c r="R27" s="97"/>
      <c r="S27" s="98"/>
      <c r="T27" s="76"/>
      <c r="U27" s="77"/>
    </row>
    <row r="28" spans="1:21" s="78" customFormat="1" ht="24" customHeight="1">
      <c r="A28" s="74"/>
      <c r="B28" s="530"/>
      <c r="C28" s="503"/>
      <c r="D28" s="132" t="s">
        <v>150</v>
      </c>
      <c r="E28" s="99"/>
      <c r="F28" s="115" t="str">
        <f t="shared" ref="F28:F29" si="8">IF(ISBLANK(H28),"",SUM(H28:S28))</f>
        <v/>
      </c>
      <c r="G28" s="116" t="str">
        <f t="shared" ref="G28:G29" si="9">IF(ISBLANK(E28),"",F28/E28)</f>
        <v/>
      </c>
      <c r="H28" s="102"/>
      <c r="I28" s="103"/>
      <c r="J28" s="103"/>
      <c r="K28" s="103"/>
      <c r="L28" s="103"/>
      <c r="M28" s="103"/>
      <c r="N28" s="103"/>
      <c r="O28" s="103"/>
      <c r="P28" s="103"/>
      <c r="Q28" s="103"/>
      <c r="R28" s="103"/>
      <c r="S28" s="104"/>
      <c r="T28" s="76"/>
      <c r="U28" s="77"/>
    </row>
    <row r="29" spans="1:21" s="78" customFormat="1" ht="24" customHeight="1" thickBot="1">
      <c r="A29" s="74"/>
      <c r="B29" s="530"/>
      <c r="C29" s="504"/>
      <c r="D29" s="174" t="s">
        <v>151</v>
      </c>
      <c r="E29" s="105"/>
      <c r="F29" s="119" t="str">
        <f t="shared" si="8"/>
        <v/>
      </c>
      <c r="G29" s="120" t="str">
        <f t="shared" si="9"/>
        <v/>
      </c>
      <c r="H29" s="108"/>
      <c r="I29" s="109"/>
      <c r="J29" s="109"/>
      <c r="K29" s="109"/>
      <c r="L29" s="109"/>
      <c r="M29" s="109"/>
      <c r="N29" s="109"/>
      <c r="O29" s="109"/>
      <c r="P29" s="109"/>
      <c r="Q29" s="109"/>
      <c r="R29" s="109"/>
      <c r="S29" s="110"/>
      <c r="T29" s="76"/>
      <c r="U29" s="77"/>
    </row>
    <row r="30" spans="1:21" s="78" customFormat="1" ht="24" customHeight="1">
      <c r="A30" s="74"/>
      <c r="B30" s="530"/>
      <c r="C30" s="502" t="s">
        <v>113</v>
      </c>
      <c r="D30" s="118" t="s">
        <v>114</v>
      </c>
      <c r="E30" s="93"/>
      <c r="F30" s="141" t="str">
        <f>IF(ISBLANK(H30),"",SUM(H30:S30))</f>
        <v/>
      </c>
      <c r="G30" s="180" t="str">
        <f>IF(ISBLANK(E30),"",F30/E30)</f>
        <v/>
      </c>
      <c r="H30" s="96"/>
      <c r="I30" s="97"/>
      <c r="J30" s="97"/>
      <c r="K30" s="97"/>
      <c r="L30" s="97"/>
      <c r="M30" s="97"/>
      <c r="N30" s="97"/>
      <c r="O30" s="97"/>
      <c r="P30" s="97"/>
      <c r="Q30" s="97"/>
      <c r="R30" s="97"/>
      <c r="S30" s="98"/>
      <c r="T30" s="76"/>
      <c r="U30" s="77"/>
    </row>
    <row r="31" spans="1:21" s="78" customFormat="1" ht="24" customHeight="1">
      <c r="A31" s="74"/>
      <c r="B31" s="530"/>
      <c r="C31" s="503"/>
      <c r="D31" s="132" t="s">
        <v>115</v>
      </c>
      <c r="E31" s="99"/>
      <c r="F31" s="115" t="str">
        <f t="shared" ref="F31:F32" si="10">IF(ISBLANK(H31),"",SUM(H31:S31))</f>
        <v/>
      </c>
      <c r="G31" s="116" t="str">
        <f t="shared" ref="G31:G32" si="11">IF(ISBLANK(E31),"",F31/E31)</f>
        <v/>
      </c>
      <c r="H31" s="102"/>
      <c r="I31" s="103"/>
      <c r="J31" s="103"/>
      <c r="K31" s="103"/>
      <c r="L31" s="103"/>
      <c r="M31" s="103"/>
      <c r="N31" s="103"/>
      <c r="O31" s="103"/>
      <c r="P31" s="103"/>
      <c r="Q31" s="103"/>
      <c r="R31" s="103"/>
      <c r="S31" s="104"/>
      <c r="T31" s="76"/>
      <c r="U31" s="77"/>
    </row>
    <row r="32" spans="1:21" s="78" customFormat="1" ht="24" customHeight="1" thickBot="1">
      <c r="A32" s="74"/>
      <c r="B32" s="531"/>
      <c r="C32" s="504"/>
      <c r="D32" s="174" t="s">
        <v>116</v>
      </c>
      <c r="E32" s="105"/>
      <c r="F32" s="119" t="str">
        <f t="shared" si="10"/>
        <v/>
      </c>
      <c r="G32" s="120" t="str">
        <f t="shared" si="11"/>
        <v/>
      </c>
      <c r="H32" s="108"/>
      <c r="I32" s="109"/>
      <c r="J32" s="109"/>
      <c r="K32" s="109"/>
      <c r="L32" s="109"/>
      <c r="M32" s="109"/>
      <c r="N32" s="109"/>
      <c r="O32" s="109"/>
      <c r="P32" s="109"/>
      <c r="Q32" s="109"/>
      <c r="R32" s="109"/>
      <c r="S32" s="110"/>
      <c r="T32" s="76"/>
      <c r="U32" s="77"/>
    </row>
    <row r="33" spans="1:26" s="78" customFormat="1" ht="28">
      <c r="A33" s="74"/>
      <c r="B33" s="529" t="s">
        <v>117</v>
      </c>
      <c r="C33" s="111"/>
      <c r="D33" s="118" t="s">
        <v>205</v>
      </c>
      <c r="E33" s="93"/>
      <c r="F33" s="94"/>
      <c r="G33" s="95"/>
      <c r="H33" s="96"/>
      <c r="I33" s="97"/>
      <c r="J33" s="97"/>
      <c r="K33" s="97"/>
      <c r="L33" s="97"/>
      <c r="M33" s="97"/>
      <c r="N33" s="97"/>
      <c r="O33" s="97"/>
      <c r="P33" s="97"/>
      <c r="Q33" s="97"/>
      <c r="R33" s="97"/>
      <c r="S33" s="98"/>
      <c r="T33" s="76"/>
      <c r="U33" s="77"/>
    </row>
    <row r="34" spans="1:26" s="78" customFormat="1" ht="28">
      <c r="A34" s="74"/>
      <c r="B34" s="530"/>
      <c r="C34" s="500" t="s">
        <v>119</v>
      </c>
      <c r="D34" s="132" t="s">
        <v>120</v>
      </c>
      <c r="E34" s="99"/>
      <c r="F34" s="115" t="str">
        <f>IF(ISBLANK(H34),"",SUM(H34:S34))</f>
        <v/>
      </c>
      <c r="G34" s="116" t="str">
        <f>IF(ISBLANK(E34),"",F34/E34)</f>
        <v/>
      </c>
      <c r="H34" s="102"/>
      <c r="I34" s="103"/>
      <c r="J34" s="103"/>
      <c r="K34" s="103"/>
      <c r="L34" s="103"/>
      <c r="M34" s="103"/>
      <c r="N34" s="103"/>
      <c r="O34" s="103"/>
      <c r="P34" s="103"/>
      <c r="Q34" s="103"/>
      <c r="R34" s="103"/>
      <c r="S34" s="104"/>
      <c r="T34" s="76"/>
      <c r="U34" s="77"/>
    </row>
    <row r="35" spans="1:26" s="78" customFormat="1" ht="28">
      <c r="A35" s="74"/>
      <c r="B35" s="530"/>
      <c r="C35" s="500"/>
      <c r="D35" s="132" t="s">
        <v>121</v>
      </c>
      <c r="E35" s="99"/>
      <c r="F35" s="115" t="str">
        <f t="shared" ref="F35:F36" si="12">IF(ISBLANK(H35),"",SUM(H35:S35))</f>
        <v/>
      </c>
      <c r="G35" s="116" t="str">
        <f t="shared" ref="G35:G36" si="13">IF(ISBLANK(E35),"",F35/E35)</f>
        <v/>
      </c>
      <c r="H35" s="102"/>
      <c r="I35" s="103"/>
      <c r="J35" s="103"/>
      <c r="K35" s="103"/>
      <c r="L35" s="103"/>
      <c r="M35" s="103"/>
      <c r="N35" s="103"/>
      <c r="O35" s="103"/>
      <c r="P35" s="103"/>
      <c r="Q35" s="103"/>
      <c r="R35" s="103"/>
      <c r="S35" s="104"/>
      <c r="T35" s="76"/>
      <c r="U35" s="77"/>
    </row>
    <row r="36" spans="1:26" s="78" customFormat="1" ht="28.5" thickBot="1">
      <c r="A36" s="74"/>
      <c r="B36" s="530"/>
      <c r="C36" s="532"/>
      <c r="D36" s="174" t="s">
        <v>122</v>
      </c>
      <c r="E36" s="105"/>
      <c r="F36" s="119" t="str">
        <f t="shared" si="12"/>
        <v/>
      </c>
      <c r="G36" s="120" t="str">
        <f t="shared" si="13"/>
        <v/>
      </c>
      <c r="H36" s="138"/>
      <c r="I36" s="139"/>
      <c r="J36" s="139"/>
      <c r="K36" s="139"/>
      <c r="L36" s="139"/>
      <c r="M36" s="139"/>
      <c r="N36" s="139"/>
      <c r="O36" s="139"/>
      <c r="P36" s="139"/>
      <c r="Q36" s="139"/>
      <c r="R36" s="139"/>
      <c r="S36" s="140"/>
      <c r="T36" s="76"/>
      <c r="U36" s="77"/>
    </row>
    <row r="37" spans="1:26" s="78" customFormat="1" ht="24" customHeight="1">
      <c r="A37" s="74"/>
      <c r="B37" s="530"/>
      <c r="C37" s="502" t="s">
        <v>123</v>
      </c>
      <c r="D37" s="118" t="s">
        <v>124</v>
      </c>
      <c r="E37" s="93"/>
      <c r="F37" s="141" t="str">
        <f>IF(ISBLANK(H37),"",SUM(H37:S37))</f>
        <v/>
      </c>
      <c r="G37" s="180" t="str">
        <f>IF(ISBLANK(E37),"",F37/E37)</f>
        <v/>
      </c>
      <c r="H37" s="96"/>
      <c r="I37" s="97"/>
      <c r="J37" s="97"/>
      <c r="K37" s="97"/>
      <c r="L37" s="97"/>
      <c r="M37" s="97"/>
      <c r="N37" s="97"/>
      <c r="O37" s="97"/>
      <c r="P37" s="97"/>
      <c r="Q37" s="97"/>
      <c r="R37" s="97"/>
      <c r="S37" s="98"/>
      <c r="T37" s="76"/>
      <c r="U37" s="77"/>
    </row>
    <row r="38" spans="1:26" s="78" customFormat="1" ht="24" customHeight="1">
      <c r="A38" s="74"/>
      <c r="B38" s="530"/>
      <c r="C38" s="503"/>
      <c r="D38" s="132" t="s">
        <v>125</v>
      </c>
      <c r="E38" s="99"/>
      <c r="F38" s="115" t="str">
        <f t="shared" ref="F38:F39" si="14">IF(ISBLANK(H38),"",SUM(H38:S38))</f>
        <v/>
      </c>
      <c r="G38" s="116" t="str">
        <f t="shared" ref="G38:G39" si="15">IF(ISBLANK(E38),"",F38/E38)</f>
        <v/>
      </c>
      <c r="H38" s="102"/>
      <c r="I38" s="103"/>
      <c r="J38" s="103"/>
      <c r="K38" s="103"/>
      <c r="L38" s="103"/>
      <c r="M38" s="103"/>
      <c r="N38" s="103"/>
      <c r="O38" s="103"/>
      <c r="P38" s="103"/>
      <c r="Q38" s="103"/>
      <c r="R38" s="103"/>
      <c r="S38" s="104"/>
      <c r="T38" s="76"/>
      <c r="U38" s="77"/>
    </row>
    <row r="39" spans="1:26" s="78" customFormat="1" ht="24" customHeight="1" thickBot="1">
      <c r="A39" s="74"/>
      <c r="B39" s="530"/>
      <c r="C39" s="504"/>
      <c r="D39" s="174" t="s">
        <v>126</v>
      </c>
      <c r="E39" s="105"/>
      <c r="F39" s="119" t="str">
        <f t="shared" si="14"/>
        <v/>
      </c>
      <c r="G39" s="120" t="str">
        <f t="shared" si="15"/>
        <v/>
      </c>
      <c r="H39" s="108"/>
      <c r="I39" s="109"/>
      <c r="J39" s="109"/>
      <c r="K39" s="109"/>
      <c r="L39" s="109"/>
      <c r="M39" s="109"/>
      <c r="N39" s="109"/>
      <c r="O39" s="109"/>
      <c r="P39" s="109"/>
      <c r="Q39" s="109"/>
      <c r="R39" s="109"/>
      <c r="S39" s="110"/>
      <c r="T39" s="76"/>
      <c r="U39" s="77"/>
    </row>
    <row r="40" spans="1:26" s="78" customFormat="1" ht="24" customHeight="1">
      <c r="A40" s="74"/>
      <c r="B40" s="530"/>
      <c r="C40" s="502" t="s">
        <v>127</v>
      </c>
      <c r="D40" s="118" t="s">
        <v>128</v>
      </c>
      <c r="E40" s="93"/>
      <c r="F40" s="141" t="str">
        <f>IF(ISBLANK(H40),"",SUM(H40:S40))</f>
        <v/>
      </c>
      <c r="G40" s="180" t="str">
        <f>IF(ISBLANK(E40),"",F40/E40)</f>
        <v/>
      </c>
      <c r="H40" s="96"/>
      <c r="I40" s="97"/>
      <c r="J40" s="97"/>
      <c r="K40" s="97"/>
      <c r="L40" s="97"/>
      <c r="M40" s="97"/>
      <c r="N40" s="97"/>
      <c r="O40" s="97"/>
      <c r="P40" s="97"/>
      <c r="Q40" s="97"/>
      <c r="R40" s="97"/>
      <c r="S40" s="98"/>
      <c r="T40" s="76"/>
      <c r="U40" s="77"/>
    </row>
    <row r="41" spans="1:26" s="78" customFormat="1" ht="24" customHeight="1">
      <c r="A41" s="74"/>
      <c r="B41" s="530"/>
      <c r="C41" s="503"/>
      <c r="D41" s="132" t="s">
        <v>129</v>
      </c>
      <c r="E41" s="99"/>
      <c r="F41" s="115" t="str">
        <f t="shared" ref="F41:F42" si="16">IF(ISBLANK(H41),"",SUM(H41:S41))</f>
        <v/>
      </c>
      <c r="G41" s="116" t="str">
        <f t="shared" ref="G41:G42" si="17">IF(ISBLANK(E41),"",F41/E41)</f>
        <v/>
      </c>
      <c r="H41" s="102"/>
      <c r="I41" s="103"/>
      <c r="J41" s="103"/>
      <c r="K41" s="103"/>
      <c r="L41" s="103"/>
      <c r="M41" s="103"/>
      <c r="N41" s="103"/>
      <c r="O41" s="103"/>
      <c r="P41" s="103"/>
      <c r="Q41" s="103"/>
      <c r="R41" s="103"/>
      <c r="S41" s="104"/>
      <c r="T41" s="76"/>
      <c r="U41" s="77"/>
    </row>
    <row r="42" spans="1:26" s="78" customFormat="1" ht="24" customHeight="1" thickBot="1">
      <c r="A42" s="74"/>
      <c r="B42" s="531"/>
      <c r="C42" s="504"/>
      <c r="D42" s="174" t="s">
        <v>130</v>
      </c>
      <c r="E42" s="105"/>
      <c r="F42" s="119" t="str">
        <f t="shared" si="16"/>
        <v/>
      </c>
      <c r="G42" s="120" t="str">
        <f t="shared" si="17"/>
        <v/>
      </c>
      <c r="H42" s="108"/>
      <c r="I42" s="109"/>
      <c r="J42" s="109"/>
      <c r="K42" s="109"/>
      <c r="L42" s="109"/>
      <c r="M42" s="109"/>
      <c r="N42" s="109"/>
      <c r="O42" s="109"/>
      <c r="P42" s="109"/>
      <c r="Q42" s="109"/>
      <c r="R42" s="109"/>
      <c r="S42" s="110"/>
      <c r="T42" s="76"/>
      <c r="U42" s="77"/>
    </row>
    <row r="43" spans="1:26" s="78" customFormat="1" ht="30.75" customHeight="1">
      <c r="A43" s="74"/>
      <c r="B43" s="80"/>
      <c r="C43" s="76"/>
      <c r="D43" s="76"/>
      <c r="E43" s="76"/>
      <c r="F43" s="76"/>
      <c r="G43" s="76"/>
      <c r="H43" s="76"/>
      <c r="I43" s="76"/>
      <c r="J43" s="76"/>
      <c r="K43" s="76"/>
      <c r="L43" s="76"/>
      <c r="M43" s="76"/>
      <c r="N43" s="76"/>
      <c r="O43" s="76"/>
      <c r="P43" s="76"/>
      <c r="Q43" s="76"/>
      <c r="R43" s="76"/>
      <c r="S43" s="76"/>
      <c r="T43" s="76"/>
      <c r="U43" s="77"/>
      <c r="V43" s="136"/>
      <c r="W43" s="136"/>
      <c r="X43" s="136"/>
      <c r="Y43" s="136"/>
      <c r="Z43" s="136"/>
    </row>
    <row r="44" spans="1:26" s="125" customFormat="1" ht="41.25" customHeight="1" thickBot="1">
      <c r="A44" s="121"/>
      <c r="B44" s="24" t="s">
        <v>58</v>
      </c>
      <c r="C44" s="122"/>
      <c r="D44" s="122"/>
      <c r="E44" s="122"/>
      <c r="F44" s="122"/>
      <c r="G44" s="122"/>
      <c r="H44" s="123"/>
      <c r="I44" s="123"/>
      <c r="J44" s="123"/>
      <c r="K44" s="123"/>
      <c r="L44" s="123"/>
      <c r="M44" s="123"/>
      <c r="N44" s="123"/>
      <c r="O44" s="123"/>
      <c r="P44" s="123"/>
      <c r="Q44" s="123"/>
      <c r="R44" s="123"/>
      <c r="S44" s="123"/>
      <c r="T44" s="83"/>
      <c r="U44" s="124"/>
      <c r="V44" s="142"/>
      <c r="W44" s="142"/>
      <c r="X44" s="142"/>
      <c r="Y44" s="142"/>
      <c r="Z44" s="142"/>
    </row>
    <row r="45" spans="1:26" s="125" customFormat="1" ht="50.25" customHeight="1" thickBot="1">
      <c r="A45" s="121"/>
      <c r="B45" s="533" t="s">
        <v>59</v>
      </c>
      <c r="C45" s="534"/>
      <c r="D45" s="535"/>
      <c r="E45" s="88" t="s">
        <v>55</v>
      </c>
      <c r="F45" s="89" t="s">
        <v>56</v>
      </c>
      <c r="G45" s="90" t="s">
        <v>57</v>
      </c>
      <c r="H45" s="91" t="s">
        <v>60</v>
      </c>
      <c r="I45" s="91">
        <v>44562</v>
      </c>
      <c r="J45" s="92">
        <v>44593</v>
      </c>
      <c r="K45" s="185">
        <v>44621</v>
      </c>
      <c r="L45" s="92">
        <v>44652</v>
      </c>
      <c r="M45" s="185">
        <v>44682</v>
      </c>
      <c r="N45" s="92">
        <v>44713</v>
      </c>
      <c r="O45" s="185">
        <v>44743</v>
      </c>
      <c r="P45" s="92">
        <v>44774</v>
      </c>
      <c r="Q45" s="185">
        <v>44805</v>
      </c>
      <c r="R45" s="92">
        <v>44835</v>
      </c>
      <c r="S45" s="185">
        <v>44866</v>
      </c>
      <c r="T45" s="186">
        <v>44896</v>
      </c>
      <c r="U45" s="124"/>
      <c r="V45" s="142"/>
      <c r="W45" s="142"/>
      <c r="X45" s="142"/>
      <c r="Y45" s="142"/>
      <c r="Z45" s="142"/>
    </row>
    <row r="46" spans="1:26" s="78" customFormat="1" ht="47.25" customHeight="1">
      <c r="A46" s="74"/>
      <c r="B46" s="436" t="s">
        <v>206</v>
      </c>
      <c r="C46" s="538" t="s">
        <v>207</v>
      </c>
      <c r="D46" s="539"/>
      <c r="E46" s="202"/>
      <c r="F46" s="131">
        <f t="shared" ref="F46:F55" si="18">SUM(I46:T46)</f>
        <v>0</v>
      </c>
      <c r="G46" s="203" t="str">
        <f t="shared" ref="G46:G55" si="19">IF(ISBLANK(E46),"",F46/E46)</f>
        <v/>
      </c>
      <c r="H46" s="268"/>
      <c r="I46" s="128"/>
      <c r="J46" s="97"/>
      <c r="K46" s="97"/>
      <c r="L46" s="97"/>
      <c r="M46" s="97"/>
      <c r="N46" s="97"/>
      <c r="O46" s="97"/>
      <c r="P46" s="97"/>
      <c r="Q46" s="97"/>
      <c r="R46" s="97"/>
      <c r="S46" s="97"/>
      <c r="T46" s="98"/>
      <c r="U46" s="77"/>
      <c r="V46" s="136"/>
      <c r="W46" s="136"/>
      <c r="X46" s="136"/>
      <c r="Y46" s="136"/>
      <c r="Z46" s="136"/>
    </row>
    <row r="47" spans="1:26" s="78" customFormat="1" ht="47.25" customHeight="1" thickBot="1">
      <c r="A47" s="74"/>
      <c r="B47" s="438"/>
      <c r="C47" s="540" t="s">
        <v>208</v>
      </c>
      <c r="D47" s="541"/>
      <c r="E47" s="197"/>
      <c r="F47" s="145">
        <f t="shared" si="18"/>
        <v>0</v>
      </c>
      <c r="G47" s="236" t="str">
        <f t="shared" si="19"/>
        <v/>
      </c>
      <c r="H47" s="199"/>
      <c r="I47" s="130"/>
      <c r="J47" s="109"/>
      <c r="K47" s="109"/>
      <c r="L47" s="109"/>
      <c r="M47" s="109"/>
      <c r="N47" s="109"/>
      <c r="O47" s="109"/>
      <c r="P47" s="109"/>
      <c r="Q47" s="109"/>
      <c r="R47" s="109"/>
      <c r="S47" s="109"/>
      <c r="T47" s="110"/>
      <c r="U47" s="77"/>
      <c r="V47" s="136"/>
      <c r="W47" s="136"/>
      <c r="X47" s="136"/>
      <c r="Y47" s="136"/>
      <c r="Z47" s="136"/>
    </row>
    <row r="48" spans="1:26" s="78" customFormat="1" ht="47.25" customHeight="1">
      <c r="A48" s="74"/>
      <c r="B48" s="436" t="s">
        <v>209</v>
      </c>
      <c r="C48" s="538" t="s">
        <v>210</v>
      </c>
      <c r="D48" s="539"/>
      <c r="E48" s="202"/>
      <c r="F48" s="131">
        <f t="shared" si="18"/>
        <v>0</v>
      </c>
      <c r="G48" s="203" t="str">
        <f t="shared" si="19"/>
        <v/>
      </c>
      <c r="H48" s="268"/>
      <c r="I48" s="128"/>
      <c r="J48" s="97"/>
      <c r="K48" s="97"/>
      <c r="L48" s="97"/>
      <c r="M48" s="97"/>
      <c r="N48" s="97"/>
      <c r="O48" s="97"/>
      <c r="P48" s="97"/>
      <c r="Q48" s="97"/>
      <c r="R48" s="97"/>
      <c r="S48" s="97"/>
      <c r="T48" s="98"/>
      <c r="U48" s="77"/>
      <c r="V48" s="136"/>
      <c r="W48" s="136"/>
      <c r="X48" s="136"/>
      <c r="Y48" s="136"/>
      <c r="Z48" s="136"/>
    </row>
    <row r="49" spans="1:26" s="78" customFormat="1" ht="47.25" customHeight="1" thickBot="1">
      <c r="A49" s="74"/>
      <c r="B49" s="438"/>
      <c r="C49" s="540" t="s">
        <v>211</v>
      </c>
      <c r="D49" s="541"/>
      <c r="E49" s="197"/>
      <c r="F49" s="145">
        <f t="shared" si="18"/>
        <v>0</v>
      </c>
      <c r="G49" s="236" t="str">
        <f t="shared" si="19"/>
        <v/>
      </c>
      <c r="H49" s="199"/>
      <c r="I49" s="130"/>
      <c r="J49" s="109"/>
      <c r="K49" s="109"/>
      <c r="L49" s="109"/>
      <c r="M49" s="109"/>
      <c r="N49" s="109"/>
      <c r="O49" s="109"/>
      <c r="P49" s="109"/>
      <c r="Q49" s="109"/>
      <c r="R49" s="109"/>
      <c r="S49" s="109"/>
      <c r="T49" s="110"/>
      <c r="U49" s="77"/>
      <c r="V49" s="136"/>
      <c r="W49" s="136"/>
      <c r="X49" s="136"/>
      <c r="Y49" s="136"/>
      <c r="Z49" s="136"/>
    </row>
    <row r="50" spans="1:26" s="78" customFormat="1" ht="47.25" customHeight="1">
      <c r="A50" s="74"/>
      <c r="B50" s="436" t="s">
        <v>212</v>
      </c>
      <c r="C50" s="538" t="s">
        <v>213</v>
      </c>
      <c r="D50" s="539"/>
      <c r="E50" s="202"/>
      <c r="F50" s="131">
        <f t="shared" si="18"/>
        <v>0</v>
      </c>
      <c r="G50" s="203" t="str">
        <f t="shared" si="19"/>
        <v/>
      </c>
      <c r="H50" s="268"/>
      <c r="I50" s="128"/>
      <c r="J50" s="97"/>
      <c r="K50" s="97"/>
      <c r="L50" s="97"/>
      <c r="M50" s="97"/>
      <c r="N50" s="97"/>
      <c r="O50" s="97"/>
      <c r="P50" s="97"/>
      <c r="Q50" s="97"/>
      <c r="R50" s="97"/>
      <c r="S50" s="97"/>
      <c r="T50" s="98"/>
      <c r="U50" s="77"/>
      <c r="V50" s="136"/>
      <c r="W50" s="136"/>
      <c r="X50" s="136"/>
      <c r="Y50" s="136"/>
      <c r="Z50" s="136"/>
    </row>
    <row r="51" spans="1:26" s="78" customFormat="1" ht="47.25" customHeight="1" thickBot="1">
      <c r="A51" s="74"/>
      <c r="B51" s="438"/>
      <c r="C51" s="540" t="s">
        <v>214</v>
      </c>
      <c r="D51" s="541"/>
      <c r="E51" s="197"/>
      <c r="F51" s="145">
        <f t="shared" si="18"/>
        <v>0</v>
      </c>
      <c r="G51" s="236" t="str">
        <f t="shared" si="19"/>
        <v/>
      </c>
      <c r="H51" s="199"/>
      <c r="I51" s="130"/>
      <c r="J51" s="109"/>
      <c r="K51" s="109"/>
      <c r="L51" s="109"/>
      <c r="M51" s="109"/>
      <c r="N51" s="109"/>
      <c r="O51" s="109"/>
      <c r="P51" s="109"/>
      <c r="Q51" s="109"/>
      <c r="R51" s="109"/>
      <c r="S51" s="109"/>
      <c r="T51" s="110"/>
      <c r="U51" s="77"/>
      <c r="V51" s="136"/>
      <c r="W51" s="136"/>
      <c r="X51" s="136"/>
      <c r="Y51" s="136"/>
      <c r="Z51" s="136"/>
    </row>
    <row r="52" spans="1:26" s="78" customFormat="1" ht="47.25" customHeight="1">
      <c r="A52" s="74"/>
      <c r="B52" s="436" t="s">
        <v>215</v>
      </c>
      <c r="C52" s="538" t="s">
        <v>216</v>
      </c>
      <c r="D52" s="539"/>
      <c r="E52" s="202"/>
      <c r="F52" s="131">
        <f t="shared" si="18"/>
        <v>0</v>
      </c>
      <c r="G52" s="203" t="str">
        <f t="shared" si="19"/>
        <v/>
      </c>
      <c r="H52" s="268"/>
      <c r="I52" s="128"/>
      <c r="J52" s="97"/>
      <c r="K52" s="97"/>
      <c r="L52" s="97"/>
      <c r="M52" s="97"/>
      <c r="N52" s="97"/>
      <c r="O52" s="97"/>
      <c r="P52" s="97"/>
      <c r="Q52" s="97"/>
      <c r="R52" s="97"/>
      <c r="S52" s="97"/>
      <c r="T52" s="98"/>
      <c r="U52" s="77"/>
      <c r="V52" s="136"/>
      <c r="W52" s="136"/>
      <c r="X52" s="136"/>
      <c r="Y52" s="136"/>
      <c r="Z52" s="136"/>
    </row>
    <row r="53" spans="1:26" s="78" customFormat="1" ht="47.25" customHeight="1" thickBot="1">
      <c r="A53" s="74"/>
      <c r="B53" s="438"/>
      <c r="C53" s="540" t="s">
        <v>217</v>
      </c>
      <c r="D53" s="541"/>
      <c r="E53" s="197"/>
      <c r="F53" s="145">
        <f t="shared" si="18"/>
        <v>0</v>
      </c>
      <c r="G53" s="236" t="str">
        <f t="shared" si="19"/>
        <v/>
      </c>
      <c r="H53" s="199"/>
      <c r="I53" s="130"/>
      <c r="J53" s="109"/>
      <c r="K53" s="109"/>
      <c r="L53" s="109"/>
      <c r="M53" s="109"/>
      <c r="N53" s="109"/>
      <c r="O53" s="109"/>
      <c r="P53" s="109"/>
      <c r="Q53" s="109"/>
      <c r="R53" s="109"/>
      <c r="S53" s="109"/>
      <c r="T53" s="110"/>
      <c r="U53" s="77"/>
      <c r="V53" s="136"/>
      <c r="W53" s="136"/>
      <c r="X53" s="136"/>
      <c r="Y53" s="136"/>
      <c r="Z53" s="136"/>
    </row>
    <row r="54" spans="1:26" s="78" customFormat="1" ht="47.25" customHeight="1">
      <c r="A54" s="74"/>
      <c r="B54" s="436" t="s">
        <v>218</v>
      </c>
      <c r="C54" s="538" t="s">
        <v>219</v>
      </c>
      <c r="D54" s="539"/>
      <c r="E54" s="202"/>
      <c r="F54" s="131">
        <f t="shared" si="18"/>
        <v>0</v>
      </c>
      <c r="G54" s="203" t="str">
        <f t="shared" si="19"/>
        <v/>
      </c>
      <c r="H54" s="268"/>
      <c r="I54" s="128"/>
      <c r="J54" s="97"/>
      <c r="K54" s="97"/>
      <c r="L54" s="97"/>
      <c r="M54" s="97"/>
      <c r="N54" s="97"/>
      <c r="O54" s="97"/>
      <c r="P54" s="97"/>
      <c r="Q54" s="97"/>
      <c r="R54" s="97"/>
      <c r="S54" s="97"/>
      <c r="T54" s="98"/>
      <c r="U54" s="77"/>
      <c r="V54" s="136"/>
      <c r="W54" s="136"/>
      <c r="X54" s="136"/>
      <c r="Y54" s="136"/>
      <c r="Z54" s="136"/>
    </row>
    <row r="55" spans="1:26" s="78" customFormat="1" ht="47.25" customHeight="1" thickBot="1">
      <c r="A55" s="74"/>
      <c r="B55" s="438"/>
      <c r="C55" s="540" t="s">
        <v>220</v>
      </c>
      <c r="D55" s="541"/>
      <c r="E55" s="197"/>
      <c r="F55" s="145">
        <f t="shared" si="18"/>
        <v>0</v>
      </c>
      <c r="G55" s="236" t="str">
        <f t="shared" si="19"/>
        <v/>
      </c>
      <c r="H55" s="199"/>
      <c r="I55" s="130"/>
      <c r="J55" s="109"/>
      <c r="K55" s="109"/>
      <c r="L55" s="109"/>
      <c r="M55" s="109"/>
      <c r="N55" s="109"/>
      <c r="O55" s="109"/>
      <c r="P55" s="109"/>
      <c r="Q55" s="109"/>
      <c r="R55" s="109"/>
      <c r="S55" s="109"/>
      <c r="T55" s="110"/>
      <c r="U55" s="77"/>
      <c r="V55" s="136"/>
      <c r="W55" s="136"/>
      <c r="X55" s="136"/>
      <c r="Y55" s="136"/>
      <c r="Z55" s="136"/>
    </row>
    <row r="56" spans="1:26" s="78" customFormat="1" ht="47.15" customHeight="1">
      <c r="A56" s="74"/>
      <c r="B56" s="436" t="s">
        <v>221</v>
      </c>
      <c r="C56" s="542" t="s">
        <v>222</v>
      </c>
      <c r="D56" s="543"/>
      <c r="E56" s="192" t="str">
        <f>IF(E59+E60=0,"",(E57+E58)/(E60+E59))</f>
        <v/>
      </c>
      <c r="F56" s="192" t="str">
        <f>IF(F59+F60=0,"",(F57+F58)/(F60+F59))</f>
        <v/>
      </c>
      <c r="G56" s="192" t="str">
        <f>IF(ISERROR(F56/E56),"",F56/E56)</f>
        <v/>
      </c>
      <c r="H56" s="242"/>
      <c r="I56" s="192" t="str">
        <f t="shared" ref="I56:T56" si="20">IF(I59+I60=0,"",(I57+I58)/(I60+I59))</f>
        <v/>
      </c>
      <c r="J56" s="192" t="str">
        <f t="shared" si="20"/>
        <v/>
      </c>
      <c r="K56" s="192" t="str">
        <f t="shared" si="20"/>
        <v/>
      </c>
      <c r="L56" s="192" t="str">
        <f t="shared" si="20"/>
        <v/>
      </c>
      <c r="M56" s="192" t="str">
        <f t="shared" si="20"/>
        <v/>
      </c>
      <c r="N56" s="192" t="str">
        <f t="shared" si="20"/>
        <v/>
      </c>
      <c r="O56" s="192" t="str">
        <f t="shared" si="20"/>
        <v/>
      </c>
      <c r="P56" s="192" t="str">
        <f t="shared" si="20"/>
        <v/>
      </c>
      <c r="Q56" s="192" t="str">
        <f t="shared" si="20"/>
        <v/>
      </c>
      <c r="R56" s="192" t="str">
        <f t="shared" si="20"/>
        <v/>
      </c>
      <c r="S56" s="192" t="str">
        <f t="shared" si="20"/>
        <v/>
      </c>
      <c r="T56" s="194" t="str">
        <f t="shared" si="20"/>
        <v/>
      </c>
      <c r="U56" s="77"/>
      <c r="V56" s="136"/>
      <c r="W56" s="136"/>
      <c r="X56" s="136"/>
      <c r="Y56" s="136"/>
      <c r="Z56" s="136"/>
    </row>
    <row r="57" spans="1:26" s="78" customFormat="1" ht="47.15" customHeight="1">
      <c r="A57" s="74"/>
      <c r="B57" s="437"/>
      <c r="C57" s="544" t="s">
        <v>223</v>
      </c>
      <c r="D57" s="545"/>
      <c r="E57" s="204"/>
      <c r="F57" s="146">
        <f>SUM(I57:T57)</f>
        <v>0</v>
      </c>
      <c r="G57" s="233" t="str">
        <f>IF(ISBLANK(E57),"",F57/E57)</f>
        <v/>
      </c>
      <c r="H57" s="273"/>
      <c r="I57" s="184"/>
      <c r="J57" s="113"/>
      <c r="K57" s="113"/>
      <c r="L57" s="113"/>
      <c r="M57" s="113"/>
      <c r="N57" s="113"/>
      <c r="O57" s="113"/>
      <c r="P57" s="113"/>
      <c r="Q57" s="113"/>
      <c r="R57" s="113"/>
      <c r="S57" s="113"/>
      <c r="T57" s="114"/>
      <c r="U57" s="77"/>
      <c r="V57" s="136"/>
      <c r="W57" s="136"/>
      <c r="X57" s="136"/>
      <c r="Y57" s="136"/>
      <c r="Z57" s="136"/>
    </row>
    <row r="58" spans="1:26" s="78" customFormat="1" ht="47.25" customHeight="1">
      <c r="A58" s="74"/>
      <c r="B58" s="437"/>
      <c r="C58" s="544" t="s">
        <v>224</v>
      </c>
      <c r="D58" s="545"/>
      <c r="E58" s="195"/>
      <c r="F58" s="143">
        <f>SUM(I58:T58)</f>
        <v>0</v>
      </c>
      <c r="G58" s="196" t="str">
        <f>IF(ISBLANK(E58),"",F58/E58)</f>
        <v/>
      </c>
      <c r="H58" s="244"/>
      <c r="I58" s="129"/>
      <c r="J58" s="103"/>
      <c r="K58" s="103"/>
      <c r="L58" s="103"/>
      <c r="M58" s="103"/>
      <c r="N58" s="103"/>
      <c r="O58" s="103"/>
      <c r="P58" s="103"/>
      <c r="Q58" s="103"/>
      <c r="R58" s="103"/>
      <c r="S58" s="103"/>
      <c r="T58" s="104"/>
      <c r="U58" s="77"/>
      <c r="V58" s="136"/>
      <c r="W58" s="136"/>
      <c r="X58" s="136"/>
      <c r="Y58" s="136"/>
      <c r="Z58" s="136"/>
    </row>
    <row r="59" spans="1:26" s="78" customFormat="1" ht="47.25" customHeight="1">
      <c r="A59" s="74"/>
      <c r="B59" s="437"/>
      <c r="C59" s="544" t="s">
        <v>225</v>
      </c>
      <c r="D59" s="545"/>
      <c r="E59" s="195"/>
      <c r="F59" s="143">
        <f>SUM(I59:T59)</f>
        <v>0</v>
      </c>
      <c r="G59" s="196" t="str">
        <f t="shared" ref="G59:G60" si="21">IF(ISBLANK(E59),"",F59/E59)</f>
        <v/>
      </c>
      <c r="H59" s="237"/>
      <c r="I59" s="129"/>
      <c r="J59" s="103"/>
      <c r="K59" s="103"/>
      <c r="L59" s="103"/>
      <c r="M59" s="103"/>
      <c r="N59" s="103"/>
      <c r="O59" s="103"/>
      <c r="P59" s="103"/>
      <c r="Q59" s="103"/>
      <c r="R59" s="103"/>
      <c r="S59" s="103"/>
      <c r="T59" s="104"/>
      <c r="U59" s="77"/>
      <c r="V59" s="136"/>
      <c r="W59" s="136"/>
      <c r="X59" s="136"/>
      <c r="Y59" s="136"/>
      <c r="Z59" s="136"/>
    </row>
    <row r="60" spans="1:26" s="78" customFormat="1" ht="47.25" customHeight="1" thickBot="1">
      <c r="A60" s="74"/>
      <c r="B60" s="438"/>
      <c r="C60" s="540" t="s">
        <v>226</v>
      </c>
      <c r="D60" s="541"/>
      <c r="E60" s="197"/>
      <c r="F60" s="145">
        <f>SUM(I60:T60)</f>
        <v>0</v>
      </c>
      <c r="G60" s="198" t="str">
        <f t="shared" si="21"/>
        <v/>
      </c>
      <c r="H60" s="199"/>
      <c r="I60" s="130"/>
      <c r="J60" s="109"/>
      <c r="K60" s="109"/>
      <c r="L60" s="109"/>
      <c r="M60" s="109"/>
      <c r="N60" s="109"/>
      <c r="O60" s="109"/>
      <c r="P60" s="109"/>
      <c r="Q60" s="109"/>
      <c r="R60" s="109"/>
      <c r="S60" s="109"/>
      <c r="T60" s="110"/>
      <c r="U60" s="77"/>
      <c r="V60" s="136"/>
      <c r="W60" s="136"/>
      <c r="X60" s="136"/>
      <c r="Y60" s="136"/>
      <c r="Z60" s="136"/>
    </row>
    <row r="61" spans="1:26" s="78" customFormat="1" ht="47.15" customHeight="1">
      <c r="A61" s="74"/>
      <c r="B61" s="436" t="s">
        <v>227</v>
      </c>
      <c r="C61" s="542" t="s">
        <v>227</v>
      </c>
      <c r="D61" s="543"/>
      <c r="E61" s="192" t="str">
        <f>IF(E64+E65=0,"",(E62+E63)/(E65+E64))</f>
        <v/>
      </c>
      <c r="F61" s="192" t="str">
        <f>IF(F64+F65=0,"",(F62+F63)/(F65+F64))</f>
        <v/>
      </c>
      <c r="G61" s="192" t="str">
        <f>IF(ISERROR(F61/E61),"",F61/E61)</f>
        <v/>
      </c>
      <c r="H61" s="242"/>
      <c r="I61" s="192" t="str">
        <f t="shared" ref="I61:T61" si="22">IF(I64+I65=0,"",(I62+I63)/(I65+I64))</f>
        <v/>
      </c>
      <c r="J61" s="192" t="str">
        <f t="shared" si="22"/>
        <v/>
      </c>
      <c r="K61" s="192" t="str">
        <f t="shared" si="22"/>
        <v/>
      </c>
      <c r="L61" s="192" t="str">
        <f t="shared" si="22"/>
        <v/>
      </c>
      <c r="M61" s="192" t="str">
        <f t="shared" si="22"/>
        <v/>
      </c>
      <c r="N61" s="192" t="str">
        <f t="shared" si="22"/>
        <v/>
      </c>
      <c r="O61" s="192" t="str">
        <f t="shared" si="22"/>
        <v/>
      </c>
      <c r="P61" s="192" t="str">
        <f t="shared" si="22"/>
        <v/>
      </c>
      <c r="Q61" s="192" t="str">
        <f t="shared" si="22"/>
        <v/>
      </c>
      <c r="R61" s="192" t="str">
        <f t="shared" si="22"/>
        <v/>
      </c>
      <c r="S61" s="192" t="str">
        <f t="shared" si="22"/>
        <v/>
      </c>
      <c r="T61" s="194" t="str">
        <f t="shared" si="22"/>
        <v/>
      </c>
      <c r="U61" s="77"/>
      <c r="V61" s="136"/>
      <c r="W61" s="136"/>
      <c r="X61" s="136"/>
      <c r="Y61" s="136"/>
      <c r="Z61" s="136"/>
    </row>
    <row r="62" spans="1:26" s="78" customFormat="1" ht="47.15" customHeight="1">
      <c r="A62" s="74"/>
      <c r="B62" s="437"/>
      <c r="C62" s="544" t="s">
        <v>228</v>
      </c>
      <c r="D62" s="545"/>
      <c r="E62" s="204"/>
      <c r="F62" s="146">
        <f t="shared" ref="F62:F67" si="23">SUM(I62:T62)</f>
        <v>0</v>
      </c>
      <c r="G62" s="233" t="str">
        <f>IF(ISBLANK(E62),"",F62/E62)</f>
        <v/>
      </c>
      <c r="H62" s="273"/>
      <c r="I62" s="184"/>
      <c r="J62" s="113"/>
      <c r="K62" s="113"/>
      <c r="L62" s="113"/>
      <c r="M62" s="113"/>
      <c r="N62" s="113"/>
      <c r="O62" s="113"/>
      <c r="P62" s="113"/>
      <c r="Q62" s="113"/>
      <c r="R62" s="113"/>
      <c r="S62" s="113"/>
      <c r="T62" s="114"/>
      <c r="U62" s="77"/>
      <c r="V62" s="136"/>
      <c r="W62" s="136"/>
      <c r="X62" s="136"/>
      <c r="Y62" s="136"/>
      <c r="Z62" s="136"/>
    </row>
    <row r="63" spans="1:26" s="78" customFormat="1" ht="47.25" customHeight="1">
      <c r="A63" s="74"/>
      <c r="B63" s="437"/>
      <c r="C63" s="544" t="s">
        <v>229</v>
      </c>
      <c r="D63" s="545"/>
      <c r="E63" s="195"/>
      <c r="F63" s="143">
        <f t="shared" si="23"/>
        <v>0</v>
      </c>
      <c r="G63" s="196" t="str">
        <f>IF(ISBLANK(E63),"",F63/E63)</f>
        <v/>
      </c>
      <c r="H63" s="244"/>
      <c r="I63" s="129"/>
      <c r="J63" s="103"/>
      <c r="K63" s="103"/>
      <c r="L63" s="103"/>
      <c r="M63" s="103"/>
      <c r="N63" s="103"/>
      <c r="O63" s="103"/>
      <c r="P63" s="103"/>
      <c r="Q63" s="103"/>
      <c r="R63" s="103"/>
      <c r="S63" s="103"/>
      <c r="T63" s="104"/>
      <c r="U63" s="77"/>
      <c r="V63" s="136"/>
      <c r="W63" s="136"/>
      <c r="X63" s="136"/>
      <c r="Y63" s="136"/>
      <c r="Z63" s="136"/>
    </row>
    <row r="64" spans="1:26" s="78" customFormat="1" ht="47.25" customHeight="1">
      <c r="A64" s="74"/>
      <c r="B64" s="437"/>
      <c r="C64" s="544" t="s">
        <v>225</v>
      </c>
      <c r="D64" s="545"/>
      <c r="E64" s="195"/>
      <c r="F64" s="143">
        <f t="shared" si="23"/>
        <v>0</v>
      </c>
      <c r="G64" s="196" t="str">
        <f t="shared" ref="G64:G65" si="24">IF(ISBLANK(E64),"",F64/E64)</f>
        <v/>
      </c>
      <c r="H64" s="237"/>
      <c r="I64" s="129"/>
      <c r="J64" s="103"/>
      <c r="K64" s="103"/>
      <c r="L64" s="103"/>
      <c r="M64" s="103"/>
      <c r="N64" s="103"/>
      <c r="O64" s="103"/>
      <c r="P64" s="103"/>
      <c r="Q64" s="103"/>
      <c r="R64" s="103"/>
      <c r="S64" s="103"/>
      <c r="T64" s="104"/>
      <c r="U64" s="77"/>
      <c r="V64" s="136"/>
      <c r="W64" s="136"/>
      <c r="X64" s="136"/>
      <c r="Y64" s="136"/>
      <c r="Z64" s="136"/>
    </row>
    <row r="65" spans="1:26" s="78" customFormat="1" ht="47.25" customHeight="1" thickBot="1">
      <c r="A65" s="74"/>
      <c r="B65" s="438"/>
      <c r="C65" s="540" t="s">
        <v>226</v>
      </c>
      <c r="D65" s="541"/>
      <c r="E65" s="197"/>
      <c r="F65" s="145">
        <f t="shared" si="23"/>
        <v>0</v>
      </c>
      <c r="G65" s="198" t="str">
        <f t="shared" si="24"/>
        <v/>
      </c>
      <c r="H65" s="199"/>
      <c r="I65" s="130"/>
      <c r="J65" s="109"/>
      <c r="K65" s="109"/>
      <c r="L65" s="109"/>
      <c r="M65" s="109"/>
      <c r="N65" s="109"/>
      <c r="O65" s="109"/>
      <c r="P65" s="109"/>
      <c r="Q65" s="109"/>
      <c r="R65" s="109"/>
      <c r="S65" s="109"/>
      <c r="T65" s="110"/>
      <c r="U65" s="77"/>
      <c r="V65" s="136"/>
      <c r="W65" s="136"/>
      <c r="X65" s="136"/>
      <c r="Y65" s="136"/>
      <c r="Z65" s="136"/>
    </row>
    <row r="66" spans="1:26" s="78" customFormat="1" ht="47.25" customHeight="1">
      <c r="A66" s="74"/>
      <c r="B66" s="436" t="s">
        <v>230</v>
      </c>
      <c r="C66" s="538" t="s">
        <v>231</v>
      </c>
      <c r="D66" s="539"/>
      <c r="E66" s="202"/>
      <c r="F66" s="131">
        <f t="shared" si="23"/>
        <v>0</v>
      </c>
      <c r="G66" s="203" t="str">
        <f>IF(ISBLANK(E66),"",F66/E66)</f>
        <v/>
      </c>
      <c r="H66" s="268"/>
      <c r="I66" s="128"/>
      <c r="J66" s="97"/>
      <c r="K66" s="97"/>
      <c r="L66" s="97"/>
      <c r="M66" s="97"/>
      <c r="N66" s="97"/>
      <c r="O66" s="97"/>
      <c r="P66" s="97"/>
      <c r="Q66" s="97"/>
      <c r="R66" s="97"/>
      <c r="S66" s="97"/>
      <c r="T66" s="98"/>
      <c r="U66" s="77"/>
      <c r="V66" s="136"/>
      <c r="W66" s="136"/>
      <c r="X66" s="136"/>
      <c r="Y66" s="136"/>
      <c r="Z66" s="136"/>
    </row>
    <row r="67" spans="1:26" s="78" customFormat="1" ht="47.25" customHeight="1" thickBot="1">
      <c r="A67" s="74"/>
      <c r="B67" s="438"/>
      <c r="C67" s="540" t="s">
        <v>232</v>
      </c>
      <c r="D67" s="541"/>
      <c r="E67" s="197"/>
      <c r="F67" s="145">
        <f t="shared" si="23"/>
        <v>0</v>
      </c>
      <c r="G67" s="236" t="str">
        <f>IF(ISBLANK(E67),"",F67/E67)</f>
        <v/>
      </c>
      <c r="H67" s="199"/>
      <c r="I67" s="130"/>
      <c r="J67" s="109"/>
      <c r="K67" s="109"/>
      <c r="L67" s="109"/>
      <c r="M67" s="109"/>
      <c r="N67" s="109"/>
      <c r="O67" s="109"/>
      <c r="P67" s="109"/>
      <c r="Q67" s="109"/>
      <c r="R67" s="109"/>
      <c r="S67" s="109"/>
      <c r="T67" s="110"/>
      <c r="U67" s="77"/>
      <c r="V67" s="136"/>
      <c r="W67" s="136"/>
      <c r="X67" s="136"/>
      <c r="Y67" s="136"/>
      <c r="Z67" s="136"/>
    </row>
    <row r="68" spans="1:26" s="125" customFormat="1" ht="14.25" customHeight="1">
      <c r="A68" s="121"/>
      <c r="B68" s="147"/>
      <c r="C68" s="148"/>
      <c r="D68" s="148"/>
      <c r="E68" s="84"/>
      <c r="F68" s="84"/>
      <c r="G68" s="84"/>
      <c r="H68" s="123"/>
      <c r="I68" s="123"/>
      <c r="J68" s="123"/>
      <c r="K68" s="123"/>
      <c r="L68" s="123"/>
      <c r="M68" s="123"/>
      <c r="N68" s="123"/>
      <c r="O68" s="123"/>
      <c r="P68" s="123"/>
      <c r="Q68" s="123"/>
      <c r="R68" s="123"/>
      <c r="S68" s="123"/>
      <c r="T68" s="83"/>
      <c r="U68" s="124"/>
      <c r="V68" s="142"/>
      <c r="W68" s="142"/>
      <c r="X68" s="142"/>
      <c r="Y68" s="142"/>
      <c r="Z68" s="142"/>
    </row>
    <row r="69" spans="1:26" s="125" customFormat="1" ht="17.649999999999999" customHeight="1" thickBot="1">
      <c r="A69" s="121"/>
      <c r="B69" s="147"/>
      <c r="C69" s="148"/>
      <c r="D69" s="148"/>
      <c r="E69" s="84"/>
      <c r="F69" s="84"/>
      <c r="G69" s="84"/>
      <c r="H69" s="123"/>
      <c r="I69" s="123"/>
      <c r="J69" s="123"/>
      <c r="K69" s="123"/>
      <c r="L69" s="123"/>
      <c r="M69" s="123"/>
      <c r="N69" s="123"/>
      <c r="O69" s="123"/>
      <c r="P69" s="123"/>
      <c r="Q69" s="123"/>
      <c r="R69" s="123"/>
      <c r="S69" s="123"/>
      <c r="T69" s="83"/>
      <c r="U69" s="124"/>
      <c r="V69" s="142"/>
      <c r="W69" s="142"/>
      <c r="X69" s="142"/>
      <c r="Y69" s="142"/>
      <c r="Z69" s="142"/>
    </row>
    <row r="70" spans="1:26" s="125" customFormat="1" ht="51" customHeight="1" thickBot="1">
      <c r="A70" s="121"/>
      <c r="B70" s="414" t="s">
        <v>233</v>
      </c>
      <c r="C70" s="415"/>
      <c r="D70" s="416"/>
      <c r="E70" s="215" t="s">
        <v>55</v>
      </c>
      <c r="F70" s="216" t="s">
        <v>56</v>
      </c>
      <c r="G70" s="217" t="s">
        <v>57</v>
      </c>
      <c r="H70" s="205" t="s">
        <v>60</v>
      </c>
      <c r="I70" s="218">
        <v>44562</v>
      </c>
      <c r="J70" s="219">
        <v>44593</v>
      </c>
      <c r="K70" s="220">
        <v>44621</v>
      </c>
      <c r="L70" s="219">
        <v>44652</v>
      </c>
      <c r="M70" s="220">
        <v>44682</v>
      </c>
      <c r="N70" s="219">
        <v>44713</v>
      </c>
      <c r="O70" s="220">
        <v>44743</v>
      </c>
      <c r="P70" s="219">
        <v>44774</v>
      </c>
      <c r="Q70" s="220">
        <v>44805</v>
      </c>
      <c r="R70" s="219">
        <v>44835</v>
      </c>
      <c r="S70" s="220">
        <v>44866</v>
      </c>
      <c r="T70" s="221">
        <v>44896</v>
      </c>
      <c r="U70" s="124"/>
    </row>
    <row r="71" spans="1:26" s="78" customFormat="1" ht="41.65" customHeight="1">
      <c r="A71" s="74"/>
      <c r="B71" s="546" t="s">
        <v>234</v>
      </c>
      <c r="C71" s="549" t="s">
        <v>235</v>
      </c>
      <c r="D71" s="550"/>
      <c r="E71" s="202"/>
      <c r="F71" s="131">
        <f t="shared" ref="F71:F77" si="25">SUM(I71:T71)</f>
        <v>0</v>
      </c>
      <c r="G71" s="149" t="str">
        <f t="shared" ref="G71:G72" si="26">IFERROR(F71/E71,"")</f>
        <v/>
      </c>
      <c r="H71" s="276"/>
      <c r="I71" s="128"/>
      <c r="J71" s="97"/>
      <c r="K71" s="97"/>
      <c r="L71" s="97"/>
      <c r="M71" s="97"/>
      <c r="N71" s="97"/>
      <c r="O71" s="97"/>
      <c r="P71" s="97"/>
      <c r="Q71" s="97"/>
      <c r="R71" s="97"/>
      <c r="S71" s="97"/>
      <c r="T71" s="98"/>
      <c r="U71" s="77"/>
    </row>
    <row r="72" spans="1:26" s="78" customFormat="1" ht="39.65" customHeight="1" thickBot="1">
      <c r="A72" s="74"/>
      <c r="B72" s="547"/>
      <c r="C72" s="551" t="s">
        <v>236</v>
      </c>
      <c r="D72" s="545"/>
      <c r="E72" s="195"/>
      <c r="F72" s="143">
        <f t="shared" si="25"/>
        <v>0</v>
      </c>
      <c r="G72" s="144" t="str">
        <f t="shared" si="26"/>
        <v/>
      </c>
      <c r="H72" s="261"/>
      <c r="I72" s="129"/>
      <c r="J72" s="103"/>
      <c r="K72" s="103"/>
      <c r="L72" s="103"/>
      <c r="M72" s="103"/>
      <c r="N72" s="103"/>
      <c r="O72" s="103"/>
      <c r="P72" s="103"/>
      <c r="Q72" s="103"/>
      <c r="R72" s="103"/>
      <c r="S72" s="103"/>
      <c r="T72" s="104"/>
      <c r="U72" s="77"/>
    </row>
    <row r="73" spans="1:26" s="78" customFormat="1" ht="41.65" customHeight="1" thickBot="1">
      <c r="A73" s="74"/>
      <c r="B73" s="262" t="s">
        <v>237</v>
      </c>
      <c r="C73" s="536" t="s">
        <v>238</v>
      </c>
      <c r="D73" s="537"/>
      <c r="E73" s="200"/>
      <c r="F73" s="201">
        <f t="shared" si="25"/>
        <v>0</v>
      </c>
      <c r="G73" s="210" t="str">
        <f t="shared" ref="G73:G74" si="27">IFERROR(F73/E73,"")</f>
        <v/>
      </c>
      <c r="H73" s="275"/>
      <c r="I73" s="238"/>
      <c r="J73" s="126"/>
      <c r="K73" s="126"/>
      <c r="L73" s="126"/>
      <c r="M73" s="126"/>
      <c r="N73" s="126"/>
      <c r="O73" s="126"/>
      <c r="P73" s="126"/>
      <c r="Q73" s="126"/>
      <c r="R73" s="126"/>
      <c r="S73" s="126"/>
      <c r="T73" s="127"/>
      <c r="U73" s="77"/>
    </row>
    <row r="74" spans="1:26" s="78" customFormat="1" ht="41.65" customHeight="1" thickBot="1">
      <c r="A74" s="74"/>
      <c r="B74" s="262" t="s">
        <v>239</v>
      </c>
      <c r="C74" s="536" t="s">
        <v>240</v>
      </c>
      <c r="D74" s="537"/>
      <c r="E74" s="200"/>
      <c r="F74" s="201">
        <f t="shared" si="25"/>
        <v>0</v>
      </c>
      <c r="G74" s="210" t="str">
        <f t="shared" si="27"/>
        <v/>
      </c>
      <c r="H74" s="275"/>
      <c r="I74" s="238"/>
      <c r="J74" s="126"/>
      <c r="K74" s="126"/>
      <c r="L74" s="126"/>
      <c r="M74" s="126"/>
      <c r="N74" s="126"/>
      <c r="O74" s="126"/>
      <c r="P74" s="126"/>
      <c r="Q74" s="126"/>
      <c r="R74" s="126"/>
      <c r="S74" s="126"/>
      <c r="T74" s="127"/>
      <c r="U74" s="77"/>
    </row>
    <row r="75" spans="1:26" s="78" customFormat="1" ht="41.65" customHeight="1" thickBot="1">
      <c r="A75" s="74"/>
      <c r="B75" s="262" t="s">
        <v>241</v>
      </c>
      <c r="C75" s="536" t="s">
        <v>242</v>
      </c>
      <c r="D75" s="537"/>
      <c r="E75" s="200"/>
      <c r="F75" s="201">
        <f t="shared" si="25"/>
        <v>0</v>
      </c>
      <c r="G75" s="210" t="str">
        <f t="shared" ref="G75:G76" si="28">IFERROR(F75/E75,"")</f>
        <v/>
      </c>
      <c r="H75" s="275"/>
      <c r="I75" s="238"/>
      <c r="J75" s="126"/>
      <c r="K75" s="126"/>
      <c r="L75" s="126"/>
      <c r="M75" s="126"/>
      <c r="N75" s="126"/>
      <c r="O75" s="126"/>
      <c r="P75" s="126"/>
      <c r="Q75" s="126"/>
      <c r="R75" s="126"/>
      <c r="S75" s="126"/>
      <c r="T75" s="127"/>
      <c r="U75" s="77"/>
    </row>
    <row r="76" spans="1:26" s="78" customFormat="1" ht="41.65" customHeight="1" thickBot="1">
      <c r="A76" s="74"/>
      <c r="B76" s="548" t="s">
        <v>243</v>
      </c>
      <c r="C76" s="552" t="s">
        <v>244</v>
      </c>
      <c r="D76" s="553"/>
      <c r="E76" s="248"/>
      <c r="F76" s="249">
        <f t="shared" si="25"/>
        <v>0</v>
      </c>
      <c r="G76" s="250" t="str">
        <f t="shared" si="28"/>
        <v/>
      </c>
      <c r="H76" s="277"/>
      <c r="I76" s="251"/>
      <c r="J76" s="252"/>
      <c r="K76" s="252"/>
      <c r="L76" s="252"/>
      <c r="M76" s="252"/>
      <c r="N76" s="252"/>
      <c r="O76" s="252"/>
      <c r="P76" s="252"/>
      <c r="Q76" s="252"/>
      <c r="R76" s="252"/>
      <c r="S76" s="252"/>
      <c r="T76" s="253"/>
      <c r="U76" s="77"/>
    </row>
    <row r="77" spans="1:26" s="78" customFormat="1" ht="41.65" customHeight="1" thickBot="1">
      <c r="A77" s="74"/>
      <c r="B77" s="548"/>
      <c r="C77" s="554" t="s">
        <v>245</v>
      </c>
      <c r="D77" s="555"/>
      <c r="E77" s="234"/>
      <c r="F77" s="224">
        <f t="shared" si="25"/>
        <v>0</v>
      </c>
      <c r="G77" s="227" t="str">
        <f t="shared" ref="G77" si="29">IFERROR(F77/E77,"")</f>
        <v/>
      </c>
      <c r="H77" s="274"/>
      <c r="I77" s="239"/>
      <c r="J77" s="240"/>
      <c r="K77" s="240"/>
      <c r="L77" s="240"/>
      <c r="M77" s="240"/>
      <c r="N77" s="240"/>
      <c r="O77" s="240"/>
      <c r="P77" s="240"/>
      <c r="Q77" s="240"/>
      <c r="R77" s="240"/>
      <c r="S77" s="240"/>
      <c r="T77" s="241"/>
      <c r="U77" s="77"/>
    </row>
    <row r="78" spans="1:26" s="125" customFormat="1" ht="31.5" customHeight="1">
      <c r="A78" s="121"/>
      <c r="B78" s="147"/>
      <c r="C78" s="148"/>
      <c r="D78" s="148"/>
      <c r="E78" s="84"/>
      <c r="F78" s="84"/>
      <c r="G78" s="84"/>
      <c r="H78" s="123"/>
      <c r="I78" s="123"/>
      <c r="J78" s="123"/>
      <c r="K78" s="123"/>
      <c r="L78" s="123"/>
      <c r="M78" s="123"/>
      <c r="N78" s="123"/>
      <c r="O78" s="123"/>
      <c r="P78" s="123"/>
      <c r="Q78" s="123"/>
      <c r="R78" s="123"/>
      <c r="S78" s="123"/>
      <c r="T78" s="83"/>
      <c r="U78" s="124"/>
      <c r="V78" s="142"/>
      <c r="W78" s="142"/>
      <c r="X78" s="142"/>
      <c r="Y78" s="142"/>
      <c r="Z78" s="142"/>
    </row>
    <row r="79" spans="1:26" s="78" customFormat="1" ht="14.5" thickBot="1">
      <c r="A79" s="133"/>
      <c r="B79" s="134"/>
      <c r="C79" s="134"/>
      <c r="D79" s="134"/>
      <c r="E79" s="134"/>
      <c r="F79" s="134"/>
      <c r="G79" s="134"/>
      <c r="H79" s="134"/>
      <c r="I79" s="134"/>
      <c r="J79" s="134"/>
      <c r="K79" s="134"/>
      <c r="L79" s="134"/>
      <c r="M79" s="134"/>
      <c r="N79" s="134"/>
      <c r="O79" s="134"/>
      <c r="P79" s="134"/>
      <c r="Q79" s="134"/>
      <c r="R79" s="134"/>
      <c r="S79" s="134"/>
      <c r="T79" s="134"/>
      <c r="U79" s="135"/>
      <c r="V79" s="136"/>
      <c r="W79" s="136"/>
      <c r="X79" s="136"/>
      <c r="Y79" s="136"/>
    </row>
  </sheetData>
  <sheetProtection formatCells="0" formatColumns="0" formatRows="0" insertColumns="0" insertRows="0" insertHyperlinks="0" deleteColumns="0" deleteRows="0" sort="0" autoFilter="0" pivotTables="0"/>
  <mergeCells count="54">
    <mergeCell ref="B71:B72"/>
    <mergeCell ref="C74:D74"/>
    <mergeCell ref="B76:B77"/>
    <mergeCell ref="C71:D71"/>
    <mergeCell ref="C72:D72"/>
    <mergeCell ref="C76:D76"/>
    <mergeCell ref="C77:D77"/>
    <mergeCell ref="C61:D61"/>
    <mergeCell ref="C62:D62"/>
    <mergeCell ref="C63:D63"/>
    <mergeCell ref="C64:D64"/>
    <mergeCell ref="C65:D65"/>
    <mergeCell ref="B46:B47"/>
    <mergeCell ref="B48:B49"/>
    <mergeCell ref="C49:D49"/>
    <mergeCell ref="B50:B51"/>
    <mergeCell ref="B52:B53"/>
    <mergeCell ref="C50:D50"/>
    <mergeCell ref="C51:D51"/>
    <mergeCell ref="C46:D46"/>
    <mergeCell ref="C47:D47"/>
    <mergeCell ref="C48:D48"/>
    <mergeCell ref="C52:D52"/>
    <mergeCell ref="C53:D53"/>
    <mergeCell ref="B70:D70"/>
    <mergeCell ref="C73:D73"/>
    <mergeCell ref="C75:D75"/>
    <mergeCell ref="C54:D54"/>
    <mergeCell ref="C55:D55"/>
    <mergeCell ref="B54:B55"/>
    <mergeCell ref="B66:B67"/>
    <mergeCell ref="C66:D66"/>
    <mergeCell ref="C67:D67"/>
    <mergeCell ref="B56:B60"/>
    <mergeCell ref="C56:D56"/>
    <mergeCell ref="C60:D60"/>
    <mergeCell ref="C58:D58"/>
    <mergeCell ref="C59:D59"/>
    <mergeCell ref="C57:D57"/>
    <mergeCell ref="B61:B65"/>
    <mergeCell ref="B33:B42"/>
    <mergeCell ref="C34:C36"/>
    <mergeCell ref="C37:C39"/>
    <mergeCell ref="C40:C42"/>
    <mergeCell ref="B45:D45"/>
    <mergeCell ref="B23:B32"/>
    <mergeCell ref="C24:C26"/>
    <mergeCell ref="C27:C29"/>
    <mergeCell ref="C30:C32"/>
    <mergeCell ref="C2:O4"/>
    <mergeCell ref="B13:B22"/>
    <mergeCell ref="C14:C16"/>
    <mergeCell ref="C17:C19"/>
    <mergeCell ref="C20:C22"/>
  </mergeCells>
  <conditionalFormatting sqref="H44:S44 H78:S78 F18:G19">
    <cfRule type="cellIs" dxfId="86" priority="184" stopIfTrue="1" operator="notEqual">
      <formula>""</formula>
    </cfRule>
  </conditionalFormatting>
  <conditionalFormatting sqref="D13">
    <cfRule type="cellIs" dxfId="85" priority="183" stopIfTrue="1" operator="notEqual">
      <formula>""</formula>
    </cfRule>
  </conditionalFormatting>
  <conditionalFormatting sqref="D12">
    <cfRule type="cellIs" dxfId="84" priority="181" stopIfTrue="1" operator="notEqual">
      <formula>""</formula>
    </cfRule>
  </conditionalFormatting>
  <conditionalFormatting sqref="C13">
    <cfRule type="cellIs" dxfId="83" priority="182" stopIfTrue="1" operator="notEqual">
      <formula>""</formula>
    </cfRule>
  </conditionalFormatting>
  <conditionalFormatting sqref="D14:D16">
    <cfRule type="cellIs" dxfId="82" priority="180" stopIfTrue="1" operator="notEqual">
      <formula>""</formula>
    </cfRule>
  </conditionalFormatting>
  <conditionalFormatting sqref="C23">
    <cfRule type="cellIs" dxfId="81" priority="177" stopIfTrue="1" operator="notEqual">
      <formula>""</formula>
    </cfRule>
  </conditionalFormatting>
  <conditionalFormatting sqref="C33">
    <cfRule type="cellIs" dxfId="80" priority="179" stopIfTrue="1" operator="notEqual">
      <formula>""</formula>
    </cfRule>
  </conditionalFormatting>
  <conditionalFormatting sqref="D33">
    <cfRule type="cellIs" dxfId="79" priority="178" stopIfTrue="1" operator="notEqual">
      <formula>""</formula>
    </cfRule>
  </conditionalFormatting>
  <conditionalFormatting sqref="D24:D26">
    <cfRule type="cellIs" dxfId="78" priority="176" stopIfTrue="1" operator="notEqual">
      <formula>""</formula>
    </cfRule>
  </conditionalFormatting>
  <conditionalFormatting sqref="D23">
    <cfRule type="cellIs" dxfId="77" priority="171" stopIfTrue="1" operator="notEqual">
      <formula>""</formula>
    </cfRule>
  </conditionalFormatting>
  <conditionalFormatting sqref="D34:D36">
    <cfRule type="cellIs" dxfId="76" priority="172" stopIfTrue="1" operator="notEqual">
      <formula>""</formula>
    </cfRule>
  </conditionalFormatting>
  <conditionalFormatting sqref="F14:G16">
    <cfRule type="cellIs" dxfId="75" priority="170" stopIfTrue="1" operator="notEqual">
      <formula>""</formula>
    </cfRule>
  </conditionalFormatting>
  <conditionalFormatting sqref="F25:G26">
    <cfRule type="cellIs" dxfId="74" priority="169" stopIfTrue="1" operator="notEqual">
      <formula>""</formula>
    </cfRule>
  </conditionalFormatting>
  <conditionalFormatting sqref="F34:G36">
    <cfRule type="cellIs" dxfId="73" priority="168" stopIfTrue="1" operator="notEqual">
      <formula>""</formula>
    </cfRule>
  </conditionalFormatting>
  <conditionalFormatting sqref="C6">
    <cfRule type="cellIs" dxfId="72" priority="167" stopIfTrue="1" operator="notEqual">
      <formula>""</formula>
    </cfRule>
  </conditionalFormatting>
  <conditionalFormatting sqref="C6">
    <cfRule type="expression" dxfId="71" priority="166" stopIfTrue="1">
      <formula>ISBLANK(C6)</formula>
    </cfRule>
  </conditionalFormatting>
  <conditionalFormatting sqref="F21:G22">
    <cfRule type="cellIs" dxfId="70" priority="165" stopIfTrue="1" operator="notEqual">
      <formula>""</formula>
    </cfRule>
  </conditionalFormatting>
  <conditionalFormatting sqref="F31:G32">
    <cfRule type="cellIs" dxfId="69" priority="164" stopIfTrue="1" operator="notEqual">
      <formula>""</formula>
    </cfRule>
  </conditionalFormatting>
  <conditionalFormatting sqref="F28:G29">
    <cfRule type="cellIs" dxfId="68" priority="163" stopIfTrue="1" operator="notEqual">
      <formula>""</formula>
    </cfRule>
  </conditionalFormatting>
  <conditionalFormatting sqref="F41:G42">
    <cfRule type="cellIs" dxfId="67" priority="162" stopIfTrue="1" operator="notEqual">
      <formula>""</formula>
    </cfRule>
  </conditionalFormatting>
  <conditionalFormatting sqref="F38:G39">
    <cfRule type="cellIs" dxfId="66" priority="161" stopIfTrue="1" operator="notEqual">
      <formula>""</formula>
    </cfRule>
  </conditionalFormatting>
  <conditionalFormatting sqref="G46">
    <cfRule type="cellIs" dxfId="65" priority="158" stopIfTrue="1" operator="notEqual">
      <formula>""</formula>
    </cfRule>
  </conditionalFormatting>
  <conditionalFormatting sqref="H68:S69">
    <cfRule type="cellIs" dxfId="64" priority="153" stopIfTrue="1" operator="notEqual">
      <formula>""</formula>
    </cfRule>
  </conditionalFormatting>
  <conditionalFormatting sqref="G47">
    <cfRule type="cellIs" dxfId="63" priority="90" stopIfTrue="1" operator="notEqual">
      <formula>""</formula>
    </cfRule>
  </conditionalFormatting>
  <conditionalFormatting sqref="G48">
    <cfRule type="cellIs" dxfId="62" priority="87" stopIfTrue="1" operator="notEqual">
      <formula>""</formula>
    </cfRule>
  </conditionalFormatting>
  <conditionalFormatting sqref="G49">
    <cfRule type="cellIs" dxfId="61" priority="84" stopIfTrue="1" operator="notEqual">
      <formula>""</formula>
    </cfRule>
  </conditionalFormatting>
  <conditionalFormatting sqref="G50">
    <cfRule type="cellIs" dxfId="60" priority="81" stopIfTrue="1" operator="notEqual">
      <formula>""</formula>
    </cfRule>
  </conditionalFormatting>
  <conditionalFormatting sqref="G51">
    <cfRule type="cellIs" dxfId="59" priority="78" stopIfTrue="1" operator="notEqual">
      <formula>""</formula>
    </cfRule>
  </conditionalFormatting>
  <conditionalFormatting sqref="G52">
    <cfRule type="cellIs" dxfId="58" priority="75" stopIfTrue="1" operator="notEqual">
      <formula>""</formula>
    </cfRule>
  </conditionalFormatting>
  <conditionalFormatting sqref="G53">
    <cfRule type="cellIs" dxfId="57" priority="72" stopIfTrue="1" operator="notEqual">
      <formula>""</formula>
    </cfRule>
  </conditionalFormatting>
  <conditionalFormatting sqref="G54">
    <cfRule type="cellIs" dxfId="56" priority="69" stopIfTrue="1" operator="notEqual">
      <formula>""</formula>
    </cfRule>
  </conditionalFormatting>
  <conditionalFormatting sqref="G55">
    <cfRule type="cellIs" dxfId="55" priority="66" stopIfTrue="1" operator="notEqual">
      <formula>""</formula>
    </cfRule>
  </conditionalFormatting>
  <conditionalFormatting sqref="G66">
    <cfRule type="cellIs" dxfId="54" priority="63" stopIfTrue="1" operator="notEqual">
      <formula>""</formula>
    </cfRule>
  </conditionalFormatting>
  <conditionalFormatting sqref="G67">
    <cfRule type="cellIs" dxfId="53" priority="60" stopIfTrue="1" operator="notEqual">
      <formula>""</formula>
    </cfRule>
  </conditionalFormatting>
  <conditionalFormatting sqref="C72">
    <cfRule type="cellIs" dxfId="52" priority="34" stopIfTrue="1" operator="notEqual">
      <formula>""</formula>
    </cfRule>
  </conditionalFormatting>
  <conditionalFormatting sqref="C71">
    <cfRule type="cellIs" dxfId="51" priority="30" stopIfTrue="1" operator="notEqual">
      <formula>""</formula>
    </cfRule>
  </conditionalFormatting>
  <conditionalFormatting sqref="C73">
    <cfRule type="cellIs" dxfId="50" priority="17" stopIfTrue="1" operator="notEqual">
      <formula>""</formula>
    </cfRule>
  </conditionalFormatting>
  <conditionalFormatting sqref="C75">
    <cfRule type="cellIs" dxfId="49" priority="8" stopIfTrue="1" operator="notEqual">
      <formula>""</formula>
    </cfRule>
  </conditionalFormatting>
  <conditionalFormatting sqref="C74">
    <cfRule type="cellIs" dxfId="48" priority="5" stopIfTrue="1" operator="notEqual">
      <formula>""</formula>
    </cfRule>
  </conditionalFormatting>
  <conditionalFormatting sqref="C77">
    <cfRule type="cellIs" dxfId="47" priority="2" stopIfTrue="1" operator="notEqual">
      <formula>""</formula>
    </cfRule>
  </conditionalFormatting>
  <conditionalFormatting sqref="C76">
    <cfRule type="cellIs" dxfId="46" priority="1" stopIfTrue="1" operator="notEqual">
      <formula>""</formula>
    </cfRule>
  </conditionalFormatting>
  <dataValidations count="9">
    <dataValidation allowBlank="1" showInputMessage="1" showErrorMessage="1" promptTitle="Data" prompt="If no  data for a month, for example between Baseline and PDM, please note N/A in the corresponding cell" sqref="H12:S42"/>
    <dataValidation allowBlank="1" showInputMessage="1" showErrorMessage="1" promptTitle="Network indicators" prompt="Network indicators (Part 3) have to be monitored in part 2" sqref="D11"/>
    <dataValidation allowBlank="1" showInputMessage="1" showErrorMessage="1" promptTitle="Gender/Age" prompt="You can add rows if you need to disaggregate indicators (Gender/Age)" sqref="D13:D42"/>
    <dataValidation allowBlank="1" showInputMessage="1" showErrorMessage="1" prompt="Please report the average of utilization rate since the beginning of the project." sqref="F11"/>
    <dataValidation allowBlank="1" showInputMessage="1" showErrorMessage="1" promptTitle="In case of amendment" prompt="Please modify the goal (target) and add a comment with the Amendment number and previous goal (target)" sqref="E11:E42"/>
    <dataValidation allowBlank="1" showInputMessage="1" showErrorMessage="1" prompt="Last day of the reporting month _x000a_DD/MM/YY" sqref="C6:C7"/>
    <dataValidation allowBlank="1" showInputMessage="1" showErrorMessage="1" promptTitle="Formula" prompt="This cell contains automatic calculation. Please do not modify." sqref="I56:T56 E56 E61 I61:T61 F46:F67 F71:G77"/>
    <dataValidation allowBlank="1" showInputMessage="1" showErrorMessage="1" prompt="Please insert a formula to automatically calculate the achievement to date," sqref="F23:G23 F33:G33 F12:G13"/>
    <dataValidation allowBlank="1" showInputMessage="1" showErrorMessage="1" promptTitle="Formula" prompt="This cell contains an automatic calculation._x000a_Modify only if relevant." sqref="F24:G32 F34:G42 F14:G22 G61:G65 G46:G60 G66:G67"/>
  </dataValidations>
  <printOptions horizontalCentered="1" verticalCentered="1"/>
  <pageMargins left="0" right="0" top="0" bottom="0" header="0" footer="0"/>
  <pageSetup paperSize="8" scale="49" orientation="landscape" r:id="rId1"/>
  <headerFooter alignWithMargins="0"/>
  <drawing r:id="rId2"/>
  <extLst>
    <ext xmlns:x14="http://schemas.microsoft.com/office/spreadsheetml/2009/9/main" uri="{78C0D931-6437-407d-A8EE-F0AAD7539E65}">
      <x14:conditionalFormattings>
        <x14:conditionalFormatting xmlns:xm="http://schemas.microsoft.com/office/excel/2006/main">
          <x14:cfRule type="expression" priority="159" id="{DEC124F0-262E-427F-9289-767AB8688B74}">
            <xm:f>AND(H$11&lt;('Part 1 - Project Info'!$C$2-31),ISBLANK(H12))</xm:f>
            <x14:dxf>
              <fill>
                <patternFill>
                  <bgColor rgb="FFFFFF00"/>
                </patternFill>
              </fill>
            </x14:dxf>
          </x14:cfRule>
          <x14:cfRule type="expression" priority="160" id="{47BCB23A-F229-4AE8-A107-C87F9F980129}">
            <xm:f>H$11&gt;'Part 1 - Project Info'!$C$2</xm:f>
            <x14:dxf>
              <fill>
                <patternFill>
                  <bgColor theme="0" tint="-0.14996795556505021"/>
                </patternFill>
              </fill>
            </x14:dxf>
          </x14:cfRule>
          <xm:sqref>H12:S42</xm:sqref>
        </x14:conditionalFormatting>
        <x14:conditionalFormatting xmlns:xm="http://schemas.microsoft.com/office/excel/2006/main">
          <x14:cfRule type="expression" priority="145" stopIfTrue="1" id="{AEEDB887-9B78-4CDD-8203-99EF604A4107}">
            <xm:f>H$11&gt;'Part 1 - Project Info'!$C$2</xm:f>
            <x14:dxf>
              <fill>
                <patternFill>
                  <bgColor theme="0" tint="-0.14996795556505021"/>
                </patternFill>
              </fill>
            </x14:dxf>
          </x14:cfRule>
          <x14:cfRule type="expression" priority="146" stopIfTrue="1" id="{22662806-3575-401E-83DE-AB089674D70D}">
            <xm:f>AND(H$11&lt;('Part 1 - Project Info'!$C$2-31),ISBLANK(I46))</xm:f>
            <x14:dxf>
              <fill>
                <patternFill>
                  <bgColor rgb="FFFFFF00"/>
                </patternFill>
              </fill>
            </x14:dxf>
          </x14:cfRule>
          <xm:sqref>I46:T46</xm:sqref>
        </x14:conditionalFormatting>
        <x14:conditionalFormatting xmlns:xm="http://schemas.microsoft.com/office/excel/2006/main">
          <x14:cfRule type="expression" priority="76" stopIfTrue="1" id="{713A79BA-AE9E-4F4C-BDEC-4C7C8710609A}">
            <xm:f>H$11&gt;'Part 1 - Project Info'!$C$2</xm:f>
            <x14:dxf>
              <fill>
                <patternFill>
                  <bgColor theme="0" tint="-0.14996795556505021"/>
                </patternFill>
              </fill>
            </x14:dxf>
          </x14:cfRule>
          <x14:cfRule type="expression" priority="77" stopIfTrue="1" id="{C514A1E7-16CB-4D96-94DB-0BAA8D262F1A}">
            <xm:f>AND(H$11&lt;('Part 1 - Project Info'!$C$2-31),ISBLANK(I51))</xm:f>
            <x14:dxf>
              <fill>
                <patternFill>
                  <bgColor rgb="FFFFFF00"/>
                </patternFill>
              </fill>
            </x14:dxf>
          </x14:cfRule>
          <xm:sqref>I51:T51</xm:sqref>
        </x14:conditionalFormatting>
        <x14:conditionalFormatting xmlns:xm="http://schemas.microsoft.com/office/excel/2006/main">
          <x14:cfRule type="expression" priority="88" stopIfTrue="1" id="{F7FBC047-F88E-47A8-827E-6F298DC11492}">
            <xm:f>H$11&gt;'Part 1 - Project Info'!$C$2</xm:f>
            <x14:dxf>
              <fill>
                <patternFill>
                  <bgColor theme="0" tint="-0.14996795556505021"/>
                </patternFill>
              </fill>
            </x14:dxf>
          </x14:cfRule>
          <x14:cfRule type="expression" priority="89" stopIfTrue="1" id="{478029B9-E841-4DE1-B598-F94F49CFE025}">
            <xm:f>AND(H$11&lt;('Part 1 - Project Info'!$C$2-31),ISBLANK(I47))</xm:f>
            <x14:dxf>
              <fill>
                <patternFill>
                  <bgColor rgb="FFFFFF00"/>
                </patternFill>
              </fill>
            </x14:dxf>
          </x14:cfRule>
          <xm:sqref>I47:T47</xm:sqref>
        </x14:conditionalFormatting>
        <x14:conditionalFormatting xmlns:xm="http://schemas.microsoft.com/office/excel/2006/main">
          <x14:cfRule type="expression" priority="70" stopIfTrue="1" id="{BBCF4DF2-74CD-4494-86CA-8D29CC641275}">
            <xm:f>H$11&gt;'Part 1 - Project Info'!$C$2</xm:f>
            <x14:dxf>
              <fill>
                <patternFill>
                  <bgColor theme="0" tint="-0.14996795556505021"/>
                </patternFill>
              </fill>
            </x14:dxf>
          </x14:cfRule>
          <x14:cfRule type="expression" priority="71" stopIfTrue="1" id="{EE1A2E6F-8B8D-498B-98D4-E53C9BD85E5D}">
            <xm:f>AND(H$11&lt;('Part 1 - Project Info'!$C$2-31),ISBLANK(I53))</xm:f>
            <x14:dxf>
              <fill>
                <patternFill>
                  <bgColor rgb="FFFFFF00"/>
                </patternFill>
              </fill>
            </x14:dxf>
          </x14:cfRule>
          <xm:sqref>I53:T53</xm:sqref>
        </x14:conditionalFormatting>
        <x14:conditionalFormatting xmlns:xm="http://schemas.microsoft.com/office/excel/2006/main">
          <x14:cfRule type="expression" priority="85" stopIfTrue="1" id="{587C45FF-1A62-45BC-B470-44CB02D2B6CE}">
            <xm:f>H$11&gt;'Part 1 - Project Info'!$C$2</xm:f>
            <x14:dxf>
              <fill>
                <patternFill>
                  <bgColor theme="0" tint="-0.14996795556505021"/>
                </patternFill>
              </fill>
            </x14:dxf>
          </x14:cfRule>
          <x14:cfRule type="expression" priority="86" stopIfTrue="1" id="{8EB371E7-6AA8-43F5-9C0E-E82C4F8373BF}">
            <xm:f>AND(H$11&lt;('Part 1 - Project Info'!$C$2-31),ISBLANK(I48))</xm:f>
            <x14:dxf>
              <fill>
                <patternFill>
                  <bgColor rgb="FFFFFF00"/>
                </patternFill>
              </fill>
            </x14:dxf>
          </x14:cfRule>
          <xm:sqref>I48:T48</xm:sqref>
        </x14:conditionalFormatting>
        <x14:conditionalFormatting xmlns:xm="http://schemas.microsoft.com/office/excel/2006/main">
          <x14:cfRule type="expression" priority="64" stopIfTrue="1" id="{06B6661E-3246-47B2-B058-4811BD085BF2}">
            <xm:f>H$11&gt;'Part 1 - Project Info'!$C$2</xm:f>
            <x14:dxf>
              <fill>
                <patternFill>
                  <bgColor theme="0" tint="-0.14996795556505021"/>
                </patternFill>
              </fill>
            </x14:dxf>
          </x14:cfRule>
          <x14:cfRule type="expression" priority="65" stopIfTrue="1" id="{1E33B436-1776-4CD9-857A-6E3AA30EDF07}">
            <xm:f>AND(H$11&lt;('Part 1 - Project Info'!$C$2-31),ISBLANK(I55))</xm:f>
            <x14:dxf>
              <fill>
                <patternFill>
                  <bgColor rgb="FFFFFF00"/>
                </patternFill>
              </fill>
            </x14:dxf>
          </x14:cfRule>
          <xm:sqref>I55:T55</xm:sqref>
        </x14:conditionalFormatting>
        <x14:conditionalFormatting xmlns:xm="http://schemas.microsoft.com/office/excel/2006/main">
          <x14:cfRule type="expression" priority="82" stopIfTrue="1" id="{E8FDCE3B-4547-4760-B3EA-CBEA97876ADA}">
            <xm:f>H$11&gt;'Part 1 - Project Info'!$C$2</xm:f>
            <x14:dxf>
              <fill>
                <patternFill>
                  <bgColor theme="0" tint="-0.14996795556505021"/>
                </patternFill>
              </fill>
            </x14:dxf>
          </x14:cfRule>
          <x14:cfRule type="expression" priority="83" stopIfTrue="1" id="{3B411BD8-9252-4800-8884-5E64678D4C0A}">
            <xm:f>AND(H$11&lt;('Part 1 - Project Info'!$C$2-31),ISBLANK(I49))</xm:f>
            <x14:dxf>
              <fill>
                <patternFill>
                  <bgColor rgb="FFFFFF00"/>
                </patternFill>
              </fill>
            </x14:dxf>
          </x14:cfRule>
          <xm:sqref>I49:T49</xm:sqref>
        </x14:conditionalFormatting>
        <x14:conditionalFormatting xmlns:xm="http://schemas.microsoft.com/office/excel/2006/main">
          <x14:cfRule type="expression" priority="58" stopIfTrue="1" id="{8B5B2050-F745-408C-AEEF-B733979397EA}">
            <xm:f>H$11&gt;'Part 1 - Project Info'!$C$2</xm:f>
            <x14:dxf>
              <fill>
                <patternFill>
                  <bgColor theme="0" tint="-0.14996795556505021"/>
                </patternFill>
              </fill>
            </x14:dxf>
          </x14:cfRule>
          <x14:cfRule type="expression" priority="59" stopIfTrue="1" id="{05962B82-B348-4ADF-A75A-5E9274C4F7F2}">
            <xm:f>AND(H$11&lt;('Part 1 - Project Info'!$C$2-31),ISBLANK(I67))</xm:f>
            <x14:dxf>
              <fill>
                <patternFill>
                  <bgColor rgb="FFFFFF00"/>
                </patternFill>
              </fill>
            </x14:dxf>
          </x14:cfRule>
          <xm:sqref>I67:T67</xm:sqref>
        </x14:conditionalFormatting>
        <x14:conditionalFormatting xmlns:xm="http://schemas.microsoft.com/office/excel/2006/main">
          <x14:cfRule type="expression" priority="39" stopIfTrue="1" id="{5F4477F2-F6A4-498E-B708-DDCA8B6E95D3}">
            <xm:f>H$11&gt;'Part 1 - Project Info'!$C$2</xm:f>
            <x14:dxf>
              <fill>
                <patternFill>
                  <bgColor theme="0" tint="-0.14996795556505021"/>
                </patternFill>
              </fill>
            </x14:dxf>
          </x14:cfRule>
          <x14:cfRule type="expression" priority="40" stopIfTrue="1" id="{D59741FF-D0B3-47A5-B90B-813772B2CAE5}">
            <xm:f>AND(H$11&lt;('Part 1 - Project Info'!$C$2-31),ISBLANK(I58))</xm:f>
            <x14:dxf>
              <fill>
                <patternFill>
                  <bgColor rgb="FFFFFF00"/>
                </patternFill>
              </fill>
            </x14:dxf>
          </x14:cfRule>
          <xm:sqref>I58:T58</xm:sqref>
        </x14:conditionalFormatting>
        <x14:conditionalFormatting xmlns:xm="http://schemas.microsoft.com/office/excel/2006/main">
          <x14:cfRule type="expression" priority="37" stopIfTrue="1" id="{DBF9554A-BE04-41CB-8A31-DAC75D99F995}">
            <xm:f>H$11&gt;'Part 1 - Project Info'!$C$2</xm:f>
            <x14:dxf>
              <fill>
                <patternFill>
                  <bgColor theme="0" tint="-0.14996795556505021"/>
                </patternFill>
              </fill>
            </x14:dxf>
          </x14:cfRule>
          <x14:cfRule type="expression" priority="38" stopIfTrue="1" id="{03B166A4-FCF6-4BD0-A3B5-96A7872794F7}">
            <xm:f>AND(H$11&lt;('Part 1 - Project Info'!$C$2-31),ISBLANK(I59))</xm:f>
            <x14:dxf>
              <fill>
                <patternFill>
                  <bgColor rgb="FFFFFF00"/>
                </patternFill>
              </fill>
            </x14:dxf>
          </x14:cfRule>
          <xm:sqref>I59:T59</xm:sqref>
        </x14:conditionalFormatting>
        <x14:conditionalFormatting xmlns:xm="http://schemas.microsoft.com/office/excel/2006/main">
          <x14:cfRule type="expression" priority="79" stopIfTrue="1" id="{A41FF398-8C7E-41F7-984F-72FFFE4AF9AB}">
            <xm:f>H$11&gt;'Part 1 - Project Info'!$C$2</xm:f>
            <x14:dxf>
              <fill>
                <patternFill>
                  <bgColor theme="0" tint="-0.14996795556505021"/>
                </patternFill>
              </fill>
            </x14:dxf>
          </x14:cfRule>
          <x14:cfRule type="expression" priority="80" stopIfTrue="1" id="{9B012E1A-9F0F-4021-BE27-E36B7C0AC903}">
            <xm:f>AND(H$11&lt;('Part 1 - Project Info'!$C$2-31),ISBLANK(I50))</xm:f>
            <x14:dxf>
              <fill>
                <patternFill>
                  <bgColor rgb="FFFFFF00"/>
                </patternFill>
              </fill>
            </x14:dxf>
          </x14:cfRule>
          <xm:sqref>I50:T50</xm:sqref>
        </x14:conditionalFormatting>
        <x14:conditionalFormatting xmlns:xm="http://schemas.microsoft.com/office/excel/2006/main">
          <x14:cfRule type="expression" priority="67" stopIfTrue="1" id="{EC7E692D-195D-4C9D-AA0E-35851299C347}">
            <xm:f>H$11&gt;'Part 1 - Project Info'!$C$2</xm:f>
            <x14:dxf>
              <fill>
                <patternFill>
                  <bgColor theme="0" tint="-0.14996795556505021"/>
                </patternFill>
              </fill>
            </x14:dxf>
          </x14:cfRule>
          <x14:cfRule type="expression" priority="68" stopIfTrue="1" id="{3F486EDE-C052-4F1C-850D-3DE027022A7B}">
            <xm:f>AND(H$11&lt;('Part 1 - Project Info'!$C$2-31),ISBLANK(I54))</xm:f>
            <x14:dxf>
              <fill>
                <patternFill>
                  <bgColor rgb="FFFFFF00"/>
                </patternFill>
              </fill>
            </x14:dxf>
          </x14:cfRule>
          <xm:sqref>I54:T54</xm:sqref>
        </x14:conditionalFormatting>
        <x14:conditionalFormatting xmlns:xm="http://schemas.microsoft.com/office/excel/2006/main">
          <x14:cfRule type="expression" priority="61" stopIfTrue="1" id="{9333774A-36EB-4CFC-93B5-33167912096E}">
            <xm:f>H$11&gt;'Part 1 - Project Info'!$C$2</xm:f>
            <x14:dxf>
              <fill>
                <patternFill>
                  <bgColor theme="0" tint="-0.14996795556505021"/>
                </patternFill>
              </fill>
            </x14:dxf>
          </x14:cfRule>
          <x14:cfRule type="expression" priority="62" stopIfTrue="1" id="{8670AF2C-4EFA-46C0-B88B-1B4B7AE9906F}">
            <xm:f>AND(H$11&lt;('Part 1 - Project Info'!$C$2-31),ISBLANK(I66))</xm:f>
            <x14:dxf>
              <fill>
                <patternFill>
                  <bgColor rgb="FFFFFF00"/>
                </patternFill>
              </fill>
            </x14:dxf>
          </x14:cfRule>
          <xm:sqref>I66:T66</xm:sqref>
        </x14:conditionalFormatting>
        <x14:conditionalFormatting xmlns:xm="http://schemas.microsoft.com/office/excel/2006/main">
          <x14:cfRule type="expression" priority="73" stopIfTrue="1" id="{6571847C-E661-4728-AB6B-D1BC099EBDE9}">
            <xm:f>H$11&gt;'Part 1 - Project Info'!$C$2</xm:f>
            <x14:dxf>
              <fill>
                <patternFill>
                  <bgColor theme="0" tint="-0.14996795556505021"/>
                </patternFill>
              </fill>
            </x14:dxf>
          </x14:cfRule>
          <x14:cfRule type="expression" priority="74" stopIfTrue="1" id="{F8678DFD-5C2A-4E51-AA20-0EFD8FA55B18}">
            <xm:f>AND(H$11&lt;('Part 1 - Project Info'!$C$2-31),ISBLANK(I52))</xm:f>
            <x14:dxf>
              <fill>
                <patternFill>
                  <bgColor rgb="FFFFFF00"/>
                </patternFill>
              </fill>
            </x14:dxf>
          </x14:cfRule>
          <xm:sqref>I52:T52</xm:sqref>
        </x14:conditionalFormatting>
        <x14:conditionalFormatting xmlns:xm="http://schemas.microsoft.com/office/excel/2006/main">
          <x14:cfRule type="expression" priority="41" stopIfTrue="1" id="{5326DAA5-4C2A-4ED9-91C7-895F0E7F5814}">
            <xm:f>H$11&gt;'Part 1 - Project Info'!$C$2</xm:f>
            <x14:dxf>
              <fill>
                <patternFill>
                  <bgColor theme="0" tint="-0.14996795556505021"/>
                </patternFill>
              </fill>
            </x14:dxf>
          </x14:cfRule>
          <x14:cfRule type="expression" priority="42" stopIfTrue="1" id="{2BE36E3F-EA48-480C-BA50-4B7F36044953}">
            <xm:f>AND(H$11&lt;('Part 1 - Project Info'!$C$2-31),ISBLANK(I57))</xm:f>
            <x14:dxf>
              <fill>
                <patternFill>
                  <bgColor rgb="FFFFFF00"/>
                </patternFill>
              </fill>
            </x14:dxf>
          </x14:cfRule>
          <xm:sqref>I57:T57</xm:sqref>
        </x14:conditionalFormatting>
        <x14:conditionalFormatting xmlns:xm="http://schemas.microsoft.com/office/excel/2006/main">
          <x14:cfRule type="expression" priority="35" stopIfTrue="1" id="{9474C0F5-3A0E-4BEA-B6FE-FBC08A2DA972}">
            <xm:f>H$11&gt;'Part 1 - Project Info'!$C$2</xm:f>
            <x14:dxf>
              <fill>
                <patternFill>
                  <bgColor theme="0" tint="-0.14996795556505021"/>
                </patternFill>
              </fill>
            </x14:dxf>
          </x14:cfRule>
          <x14:cfRule type="expression" priority="36" stopIfTrue="1" id="{F9B4E482-0AF3-4867-BA08-743E16FBC092}">
            <xm:f>AND(H$11&lt;('Part 1 - Project Info'!$C$2-31),ISBLANK(I60))</xm:f>
            <x14:dxf>
              <fill>
                <patternFill>
                  <bgColor rgb="FFFFFF00"/>
                </patternFill>
              </fill>
            </x14:dxf>
          </x14:cfRule>
          <xm:sqref>I60:T60</xm:sqref>
        </x14:conditionalFormatting>
        <x14:conditionalFormatting xmlns:xm="http://schemas.microsoft.com/office/excel/2006/main">
          <x14:cfRule type="expression" priority="26" stopIfTrue="1" id="{77308685-C70A-4091-BC16-BA3A794A1950}">
            <xm:f>H$11&gt;'Part 1 - Project Info'!$C$2</xm:f>
            <x14:dxf>
              <fill>
                <patternFill>
                  <bgColor theme="0" tint="-0.14996795556505021"/>
                </patternFill>
              </fill>
            </x14:dxf>
          </x14:cfRule>
          <x14:cfRule type="expression" priority="27" stopIfTrue="1" id="{B32ED781-2E3A-4188-9557-88C8F7337969}">
            <xm:f>AND(H$11&lt;('Part 1 - Project Info'!$C$2-31),ISBLANK(I62))</xm:f>
            <x14:dxf>
              <fill>
                <patternFill>
                  <bgColor rgb="FFFFFF00"/>
                </patternFill>
              </fill>
            </x14:dxf>
          </x14:cfRule>
          <xm:sqref>I62:T62</xm:sqref>
        </x14:conditionalFormatting>
        <x14:conditionalFormatting xmlns:xm="http://schemas.microsoft.com/office/excel/2006/main">
          <x14:cfRule type="expression" priority="20" stopIfTrue="1" id="{B3147718-5054-4CA1-85EC-C0BB049BA2C7}">
            <xm:f>H$11&gt;'Part 1 - Project Info'!$C$2</xm:f>
            <x14:dxf>
              <fill>
                <patternFill>
                  <bgColor theme="0" tint="-0.14996795556505021"/>
                </patternFill>
              </fill>
            </x14:dxf>
          </x14:cfRule>
          <x14:cfRule type="expression" priority="21" stopIfTrue="1" id="{3928F84B-5792-4329-9402-B4C22DCFDA77}">
            <xm:f>AND(H$11&lt;('Part 1 - Project Info'!$C$2-31),ISBLANK(I65))</xm:f>
            <x14:dxf>
              <fill>
                <patternFill>
                  <bgColor rgb="FFFFFF00"/>
                </patternFill>
              </fill>
            </x14:dxf>
          </x14:cfRule>
          <xm:sqref>I65:T65</xm:sqref>
        </x14:conditionalFormatting>
        <x14:conditionalFormatting xmlns:xm="http://schemas.microsoft.com/office/excel/2006/main">
          <x14:cfRule type="expression" priority="22" stopIfTrue="1" id="{755A4AAC-5094-43FA-B85A-B7B3D933397B}">
            <xm:f>H$11&gt;'Part 1 - Project Info'!$C$2</xm:f>
            <x14:dxf>
              <fill>
                <patternFill>
                  <bgColor theme="0" tint="-0.14996795556505021"/>
                </patternFill>
              </fill>
            </x14:dxf>
          </x14:cfRule>
          <x14:cfRule type="expression" priority="23" stopIfTrue="1" id="{85491989-71F4-45E0-897D-37EF4369A617}">
            <xm:f>AND(H$11&lt;('Part 1 - Project Info'!$C$2-31),ISBLANK(I64))</xm:f>
            <x14:dxf>
              <fill>
                <patternFill>
                  <bgColor rgb="FFFFFF00"/>
                </patternFill>
              </fill>
            </x14:dxf>
          </x14:cfRule>
          <xm:sqref>I64:T64</xm:sqref>
        </x14:conditionalFormatting>
        <x14:conditionalFormatting xmlns:xm="http://schemas.microsoft.com/office/excel/2006/main">
          <x14:cfRule type="expression" priority="24" stopIfTrue="1" id="{6CE43C0A-E5C8-4CEE-9C71-7225DB3765FD}">
            <xm:f>H$11&gt;'Part 1 - Project Info'!$C$2</xm:f>
            <x14:dxf>
              <fill>
                <patternFill>
                  <bgColor theme="0" tint="-0.14996795556505021"/>
                </patternFill>
              </fill>
            </x14:dxf>
          </x14:cfRule>
          <x14:cfRule type="expression" priority="25" stopIfTrue="1" id="{B2F3D68E-3540-4369-A3E6-3D832898A20A}">
            <xm:f>AND(H$11&lt;('Part 1 - Project Info'!$C$2-31),ISBLANK(I63))</xm:f>
            <x14:dxf>
              <fill>
                <patternFill>
                  <bgColor rgb="FFFFFF00"/>
                </patternFill>
              </fill>
            </x14:dxf>
          </x14:cfRule>
          <xm:sqref>I63:T63</xm:sqref>
        </x14:conditionalFormatting>
        <x14:conditionalFormatting xmlns:xm="http://schemas.microsoft.com/office/excel/2006/main">
          <x14:cfRule type="expression" priority="776" stopIfTrue="1" id="{37F60738-2281-4943-8478-59B6CA2A3A5B}">
            <xm:f>#REF!&gt;'Part 1 - Project Info'!$C$2</xm:f>
            <x14:dxf>
              <fill>
                <patternFill>
                  <bgColor theme="0" tint="-0.14996795556505021"/>
                </patternFill>
              </fill>
            </x14:dxf>
          </x14:cfRule>
          <x14:cfRule type="expression" priority="777" stopIfTrue="1" id="{004E1CBE-76B1-4E6F-9E9C-65ECEF8B0650}">
            <xm:f>AND(#REF!&lt;('Part 1 - Project Info'!$C$2-31),ISBLANK(#REF!))</xm:f>
            <x14:dxf>
              <fill>
                <patternFill>
                  <bgColor rgb="FFFFFF00"/>
                </patternFill>
              </fill>
            </x14:dxf>
          </x14:cfRule>
          <xm:sqref>I71:T73</xm:sqref>
        </x14:conditionalFormatting>
        <x14:conditionalFormatting xmlns:xm="http://schemas.microsoft.com/office/excel/2006/main">
          <x14:cfRule type="expression" priority="778" stopIfTrue="1" id="{37F60738-2281-4943-8478-59B6CA2A3A5B}">
            <xm:f>#REF!&gt;'Part 1 - Project Info'!$C$2</xm:f>
            <x14:dxf>
              <fill>
                <patternFill>
                  <bgColor theme="0" tint="-0.14996795556505021"/>
                </patternFill>
              </fill>
            </x14:dxf>
          </x14:cfRule>
          <x14:cfRule type="expression" priority="779" stopIfTrue="1" id="{004E1CBE-76B1-4E6F-9E9C-65ECEF8B0650}">
            <xm:f>AND(#REF!&lt;('Part 1 - Project Info'!$C$2-31),ISBLANK(#REF!))</xm:f>
            <x14:dxf>
              <fill>
                <patternFill>
                  <bgColor rgb="FFFFFF00"/>
                </patternFill>
              </fill>
            </x14:dxf>
          </x14:cfRule>
          <xm:sqref>I74:T77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A71A2B34E9C84590C7F8D5A4ADB6BF" ma:contentTypeVersion="3332" ma:contentTypeDescription="Create a new document." ma:contentTypeScope="" ma:versionID="c0e10d88b38702fcdc140b4f41bdcda6">
  <xsd:schema xmlns:xsd="http://www.w3.org/2001/XMLSchema" xmlns:xs="http://www.w3.org/2001/XMLSchema" xmlns:p="http://schemas.microsoft.com/office/2006/metadata/properties" xmlns:ns2="420ead94-9608-46a5-8dc1-f735616c5351" xmlns:ns3="61e45c8e-23ff-463a-b69b-1081942380c6" targetNamespace="http://schemas.microsoft.com/office/2006/metadata/properties" ma:root="true" ma:fieldsID="92102d16f2ed4a10dafffc5a2dfab375" ns2:_="" ns3:_="">
    <xsd:import namespace="420ead94-9608-46a5-8dc1-f735616c5351"/>
    <xsd:import namespace="61e45c8e-23ff-463a-b69b-1081942380c6"/>
    <xsd:element name="properties">
      <xsd:complexType>
        <xsd:sequence>
          <xsd:element name="documentManagement">
            <xsd:complexType>
              <xsd:all>
                <xsd:element ref="ns2:_dlc_DocId" minOccurs="0"/>
                <xsd:element ref="ns2:_dlc_DocIdUrl" minOccurs="0"/>
                <xsd:element ref="ns2:_dlc_DocIdPersistId" minOccurs="0"/>
                <xsd:element ref="ns3:_x0061_ty7"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AutoKeyPoints" minOccurs="0"/>
                <xsd:element ref="ns3:MediaServiceKeyPoints" minOccurs="0"/>
                <xsd:element ref="ns3:MediaServiceGenerationTime" minOccurs="0"/>
                <xsd:element ref="ns3:MediaServiceEventHashCode" minOccurs="0"/>
                <xsd:element ref="ns2:SharedWithUsers" minOccurs="0"/>
                <xsd:element ref="ns2:SharedWithDetails" minOccurs="0"/>
                <xsd:element ref="ns3:MediaServiceLocation" minOccurs="0"/>
                <xsd:element ref="ns3:lcf76f155ced4ddcb4097134ff3c332f" minOccurs="0"/>
                <xsd:element ref="ns2:TaxCatchAll" minOccurs="0"/>
                <xsd:element ref="ns3:MediaLengthInSeconds" minOccurs="0"/>
                <xsd:element ref="ns3:MediaServiceObjectDetectorVersions" minOccurs="0"/>
                <xsd:element ref="ns3:MediaServiceSearchProperties" minOccurs="0"/>
                <xsd:element ref="ns3: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0ead94-9608-46a5-8dc1-f735616c535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false">
      <xsd:simpleType>
        <xsd:restriction base="dms:Boolean"/>
      </xsd:simpleType>
    </xsd:element>
    <xsd:element name="SharedWithUsers" ma:index="21" nillable="true" ma:displayName="Partagé avec"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element name="TaxCatchAll" ma:index="26" nillable="true" ma:displayName="Taxonomy Catch All Column" ma:hidden="true" ma:list="{2c625279-7225-4da1-bda4-57804adfd162}" ma:internalName="TaxCatchAll" ma:showField="CatchAllData" ma:web="420ead94-9608-46a5-8dc1-f735616c535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1e45c8e-23ff-463a-b69b-1081942380c6" elementFormDefault="qualified">
    <xsd:import namespace="http://schemas.microsoft.com/office/2006/documentManagement/types"/>
    <xsd:import namespace="http://schemas.microsoft.com/office/infopath/2007/PartnerControls"/>
    <xsd:element name="_x0061_ty7" ma:index="11" nillable="true" ma:displayName="Text" ma:internalName="_x0061_ty7" ma:readOnly="false">
      <xsd:simpleType>
        <xsd:restriction base="dms:Text"/>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Location" ma:index="23" nillable="true" ma:displayName="Location" ma:internalName="MediaServiceLocation" ma:readOnly="true">
      <xsd:simpleType>
        <xsd:restriction base="dms:Text"/>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3c012b52-6639-4d77-9768-9e7c257c5cca" ma:termSetId="09814cd3-568e-fe90-9814-8d621ff8fb84" ma:anchorId="fba54fb3-c3e1-fe81-a776-ca4b69148c4d" ma:open="true" ma:isKeyword="false">
      <xsd:complexType>
        <xsd:sequence>
          <xsd:element ref="pc:Terms" minOccurs="0" maxOccurs="1"/>
        </xsd:sequence>
      </xsd:complexType>
    </xsd:element>
    <xsd:element name="MediaLengthInSeconds" ma:index="27" nillable="true" ma:displayName="MediaLengthInSeconds" ma:hidden="true" ma:internalName="MediaLengthInSeconds" ma:readOnly="true">
      <xsd:simpleType>
        <xsd:restriction base="dms:Unknown"/>
      </xsd:simple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_Flow_SignoffStatus" ma:index="30" nillable="true" ma:displayName="Sign-off status" ma:internalName="Sign_x002d_off_x0020_status">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420ead94-9608-46a5-8dc1-f735616c5351">PRYQX72QPPFK-1815817445-51547</_dlc_DocId>
    <_dlc_DocIdUrl xmlns="420ead94-9608-46a5-8dc1-f735616c5351">
      <Url>https://actioncontrelafaim.sharepoint.com/mis/Afghanistan/_layouts/15/DocIdRedir.aspx?ID=PRYQX72QPPFK-1815817445-51547</Url>
      <Description>PRYQX72QPPFK-1815817445-51547</Description>
    </_dlc_DocIdUrl>
    <_dlc_DocIdPersistId xmlns="420ead94-9608-46a5-8dc1-f735616c5351" xsi:nil="true"/>
    <TaxCatchAll xmlns="420ead94-9608-46a5-8dc1-f735616c5351" xsi:nil="true"/>
    <lcf76f155ced4ddcb4097134ff3c332f xmlns="61e45c8e-23ff-463a-b69b-1081942380c6">
      <Terms xmlns="http://schemas.microsoft.com/office/infopath/2007/PartnerControls"/>
    </lcf76f155ced4ddcb4097134ff3c332f>
    <_x0061_ty7 xmlns="61e45c8e-23ff-463a-b69b-1081942380c6" xsi:nil="true"/>
    <_Flow_SignoffStatus xmlns="61e45c8e-23ff-463a-b69b-1081942380c6"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8C336E-297D-47E0-813E-321D7F2509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20ead94-9608-46a5-8dc1-f735616c5351"/>
    <ds:schemaRef ds:uri="61e45c8e-23ff-463a-b69b-1081942380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2E34BB-C037-4B14-9DCE-5D352BAA7021}">
  <ds:schemaRefs>
    <ds:schemaRef ds:uri="http://schemas.microsoft.com/sharepoint/events"/>
  </ds:schemaRefs>
</ds:datastoreItem>
</file>

<file path=customXml/itemProps3.xml><?xml version="1.0" encoding="utf-8"?>
<ds:datastoreItem xmlns:ds="http://schemas.openxmlformats.org/officeDocument/2006/customXml" ds:itemID="{6A171B94-0E3C-4790-8511-60FCCE1CE75C}">
  <ds:schemaRefs>
    <ds:schemaRef ds:uri="http://schemas.microsoft.com/office/2006/documentManagement/types"/>
    <ds:schemaRef ds:uri="61e45c8e-23ff-463a-b69b-1081942380c6"/>
    <ds:schemaRef ds:uri="http://www.w3.org/XML/1998/namespace"/>
    <ds:schemaRef ds:uri="http://schemas.openxmlformats.org/package/2006/metadata/core-properties"/>
    <ds:schemaRef ds:uri="420ead94-9608-46a5-8dc1-f735616c5351"/>
    <ds:schemaRef ds:uri="http://purl.org/dc/elements/1.1/"/>
    <ds:schemaRef ds:uri="http://schemas.microsoft.com/office/2006/metadata/properties"/>
    <ds:schemaRef ds:uri="http://schemas.microsoft.com/office/infopath/2007/PartnerControls"/>
    <ds:schemaRef ds:uri="http://purl.org/dc/dcmitype/"/>
    <ds:schemaRef ds:uri="http://purl.org/dc/terms/"/>
  </ds:schemaRefs>
</ds:datastoreItem>
</file>

<file path=customXml/itemProps4.xml><?xml version="1.0" encoding="utf-8"?>
<ds:datastoreItem xmlns:ds="http://schemas.openxmlformats.org/officeDocument/2006/customXml" ds:itemID="{2D942778-8E9A-4F8C-96C5-E393E537F1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Part 1 - Project Info</vt:lpstr>
      <vt:lpstr>Master APR</vt:lpstr>
      <vt:lpstr>DRM</vt:lpstr>
      <vt:lpstr>ADVOCACY</vt:lpstr>
      <vt:lpstr>ADVOCACY!Print_Area</vt:lpstr>
      <vt:lpstr>DRM!Print_Area</vt:lpstr>
      <vt:lpstr>'Master APR'!Print_Area</vt:lpstr>
    </vt:vector>
  </TitlesOfParts>
  <Manager/>
  <Company>ACF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Monthly Report Cambodia MK</dc:subject>
  <dc:creator>Eric BOSC</dc:creator>
  <cp:keywords/>
  <dc:description/>
  <cp:lastModifiedBy>M Shoaib</cp:lastModifiedBy>
  <cp:revision/>
  <dcterms:created xsi:type="dcterms:W3CDTF">2002-08-02T13:00:48Z</dcterms:created>
  <dcterms:modified xsi:type="dcterms:W3CDTF">2025-10-16T11:29:49Z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0x0101000CA71A2B34E9C84590C7F8D5A4ADB6BF</vt:lpwstr>
  </property>
  <property fmtid="{D5CDD505-2E9C-101B-9397-08002B2CF9AE}" pid="3" name="_dlc_DocIdItemGuid">
    <vt:lpwstr>21a5f2eb-3253-44f9-8af4-e9bcbd362b7d</vt:lpwstr>
  </property>
  <property fmtid="{D5CDD505-2E9C-101B-9397-08002B2CF9AE}" pid="4" name="MediaServiceImageTags">
    <vt:lpwstr/>
  </property>
</Properties>
</file>